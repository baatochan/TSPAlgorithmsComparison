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TSPAlgorithmsComparison\docs\"/>
    </mc:Choice>
  </mc:AlternateContent>
  <xr:revisionPtr revIDLastSave="0" documentId="13_ncr:1_{A394947A-D26F-4E51-B2CF-0AB0F84EBE4E}" xr6:coauthVersionLast="38" xr6:coauthVersionMax="38" xr10:uidLastSave="{00000000-0000-0000-0000-000000000000}"/>
  <bookViews>
    <workbookView xWindow="0" yWindow="0" windowWidth="21600" windowHeight="9525" activeTab="3" xr2:uid="{55D8D51F-8FA1-4405-8ECD-F5BB9F2B2543}"/>
  </bookViews>
  <sheets>
    <sheet name="BF" sheetId="3" r:id="rId1"/>
    <sheet name="BnB" sheetId="5" r:id="rId2"/>
    <sheet name="comparison" sheetId="7" r:id="rId3"/>
    <sheet name="print" sheetId="8" r:id="rId4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7" i="8" l="1"/>
  <c r="A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A29" i="8"/>
  <c r="B29" i="8"/>
  <c r="C29" i="8"/>
  <c r="D29" i="8"/>
  <c r="E29" i="8"/>
  <c r="F29" i="8"/>
  <c r="G29" i="8"/>
  <c r="H29" i="8"/>
  <c r="I29" i="8"/>
  <c r="J29" i="8"/>
  <c r="K29" i="8"/>
  <c r="L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A14" i="8"/>
  <c r="A15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A16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A24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A25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A1" i="8"/>
  <c r="A2" i="8"/>
  <c r="B2" i="8"/>
  <c r="C2" i="8"/>
  <c r="D2" i="8"/>
  <c r="E2" i="8"/>
  <c r="F2" i="8"/>
  <c r="G2" i="8"/>
  <c r="H2" i="8"/>
  <c r="I2" i="8"/>
  <c r="J2" i="8"/>
  <c r="K2" i="8"/>
  <c r="A3" i="8"/>
  <c r="B3" i="8"/>
  <c r="C3" i="8"/>
  <c r="D3" i="8"/>
  <c r="E3" i="8"/>
  <c r="F3" i="8"/>
  <c r="G3" i="8"/>
  <c r="H3" i="8"/>
  <c r="I3" i="8"/>
  <c r="J3" i="8"/>
  <c r="K3" i="8"/>
  <c r="B4" i="8"/>
  <c r="C4" i="8"/>
  <c r="D4" i="8"/>
  <c r="E4" i="8"/>
  <c r="F4" i="8"/>
  <c r="G4" i="8"/>
  <c r="H4" i="8"/>
  <c r="I4" i="8"/>
  <c r="J4" i="8"/>
  <c r="K4" i="8"/>
  <c r="B5" i="8"/>
  <c r="C5" i="8"/>
  <c r="D5" i="8"/>
  <c r="E5" i="8"/>
  <c r="F5" i="8"/>
  <c r="G5" i="8"/>
  <c r="H5" i="8"/>
  <c r="I5" i="8"/>
  <c r="J5" i="8"/>
  <c r="K5" i="8"/>
  <c r="B6" i="8"/>
  <c r="C6" i="8"/>
  <c r="D6" i="8"/>
  <c r="E6" i="8"/>
  <c r="F6" i="8"/>
  <c r="G6" i="8"/>
  <c r="H6" i="8"/>
  <c r="I6" i="8"/>
  <c r="J6" i="8"/>
  <c r="K6" i="8"/>
  <c r="B7" i="8"/>
  <c r="C7" i="8"/>
  <c r="D7" i="8"/>
  <c r="E7" i="8"/>
  <c r="F7" i="8"/>
  <c r="G7" i="8"/>
  <c r="H7" i="8"/>
  <c r="I7" i="8"/>
  <c r="J7" i="8"/>
  <c r="K7" i="8"/>
  <c r="B8" i="8"/>
  <c r="C8" i="8"/>
  <c r="D8" i="8"/>
  <c r="E8" i="8"/>
  <c r="F8" i="8"/>
  <c r="G8" i="8"/>
  <c r="H8" i="8"/>
  <c r="I8" i="8"/>
  <c r="J8" i="8"/>
  <c r="K8" i="8"/>
  <c r="B9" i="8"/>
  <c r="C9" i="8"/>
  <c r="D9" i="8"/>
  <c r="E9" i="8"/>
  <c r="F9" i="8"/>
  <c r="G9" i="8"/>
  <c r="H9" i="8"/>
  <c r="I9" i="8"/>
  <c r="J9" i="8"/>
  <c r="K9" i="8"/>
  <c r="B10" i="8"/>
  <c r="C10" i="8"/>
  <c r="D10" i="8"/>
  <c r="E10" i="8"/>
  <c r="F10" i="8"/>
  <c r="G10" i="8"/>
  <c r="H10" i="8"/>
  <c r="I10" i="8"/>
  <c r="J10" i="8"/>
  <c r="K10" i="8"/>
  <c r="A11" i="8"/>
  <c r="B11" i="8"/>
  <c r="C11" i="8"/>
  <c r="D11" i="8"/>
  <c r="E11" i="8"/>
  <c r="F11" i="8"/>
  <c r="G11" i="8"/>
  <c r="H11" i="8"/>
  <c r="I11" i="8"/>
  <c r="J11" i="8"/>
  <c r="K11" i="8"/>
  <c r="A12" i="8"/>
  <c r="B12" i="8"/>
  <c r="C12" i="8"/>
  <c r="D12" i="8"/>
  <c r="E12" i="8"/>
  <c r="F12" i="8"/>
  <c r="G12" i="8"/>
  <c r="H12" i="8"/>
  <c r="I12" i="8"/>
  <c r="J12" i="8"/>
  <c r="K12" i="8"/>
  <c r="L3" i="7" l="1"/>
  <c r="N4" i="7"/>
  <c r="O4" i="7"/>
  <c r="P4" i="7"/>
  <c r="Q4" i="7"/>
  <c r="R4" i="7"/>
  <c r="S4" i="7"/>
  <c r="T4" i="7"/>
  <c r="M4" i="7"/>
  <c r="C4" i="7"/>
  <c r="D4" i="7"/>
  <c r="E4" i="7"/>
  <c r="F4" i="7"/>
  <c r="G4" i="7"/>
  <c r="H4" i="7"/>
  <c r="I4" i="7"/>
  <c r="J4" i="7"/>
  <c r="K4" i="7"/>
  <c r="L4" i="7"/>
  <c r="C3" i="7"/>
  <c r="D3" i="7"/>
  <c r="E3" i="7"/>
  <c r="F3" i="7"/>
  <c r="G3" i="7"/>
  <c r="H3" i="7"/>
  <c r="I3" i="7"/>
  <c r="J3" i="7"/>
  <c r="K3" i="7"/>
  <c r="L12" i="5"/>
  <c r="M12" i="5"/>
  <c r="N12" i="5"/>
  <c r="O12" i="5"/>
  <c r="P12" i="5"/>
  <c r="Q12" i="5"/>
  <c r="R12" i="5"/>
  <c r="S12" i="5"/>
  <c r="C11" i="5"/>
  <c r="D11" i="5"/>
  <c r="D12" i="5" s="1"/>
  <c r="E11" i="5"/>
  <c r="F11" i="5"/>
  <c r="F12" i="5" s="1"/>
  <c r="G11" i="5"/>
  <c r="H11" i="5"/>
  <c r="H12" i="5" s="1"/>
  <c r="I11" i="5"/>
  <c r="J11" i="5"/>
  <c r="J12" i="5" s="1"/>
  <c r="K11" i="5"/>
  <c r="L11" i="5"/>
  <c r="M11" i="5"/>
  <c r="N11" i="5"/>
  <c r="O11" i="5"/>
  <c r="P11" i="5"/>
  <c r="Q11" i="5"/>
  <c r="R11" i="5"/>
  <c r="S11" i="5"/>
  <c r="B11" i="5"/>
  <c r="B12" i="5"/>
  <c r="C12" i="5"/>
  <c r="E12" i="5"/>
  <c r="G12" i="5"/>
  <c r="I12" i="5"/>
  <c r="K12" i="5"/>
  <c r="B12" i="3"/>
  <c r="C12" i="3"/>
  <c r="D12" i="3"/>
  <c r="E12" i="3"/>
  <c r="F12" i="3"/>
  <c r="G12" i="3"/>
  <c r="H12" i="3"/>
  <c r="I12" i="3"/>
  <c r="J12" i="3"/>
  <c r="K12" i="3"/>
  <c r="C11" i="3"/>
  <c r="D11" i="3"/>
  <c r="E11" i="3"/>
  <c r="F11" i="3"/>
  <c r="G11" i="3"/>
  <c r="H11" i="3"/>
  <c r="I11" i="3"/>
  <c r="J11" i="3"/>
  <c r="K11" i="3"/>
  <c r="B11" i="3"/>
</calcChain>
</file>

<file path=xl/sharedStrings.xml><?xml version="1.0" encoding="utf-8"?>
<sst xmlns="http://schemas.openxmlformats.org/spreadsheetml/2006/main" count="15" uniqueCount="10">
  <si>
    <t>TSP - algorytm Brute Force</t>
  </si>
  <si>
    <t>Ilość miast</t>
  </si>
  <si>
    <t>Wyniki pomiarów</t>
  </si>
  <si>
    <t>Średnia (µs)</t>
  </si>
  <si>
    <t>Średnia (s)</t>
  </si>
  <si>
    <t>TSP - algorytm Branch and Bound</t>
  </si>
  <si>
    <t>TSP - porównanie</t>
  </si>
  <si>
    <t>Algorytm</t>
  </si>
  <si>
    <t>Brute Force</t>
  </si>
  <si>
    <t>Branch and Bound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</si>
</sst>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64" fontId="0" fillId="0" borderId="0" xfId="0" applyNumberFormat="1"/>
    <xf numFmtId="0" fontId="1" fillId="0" borderId="0" xfId="0" applyFont="1"/>
    <xf numFmtId="1" fontId="0" fillId="0" borderId="0" xfId="0" applyNumberFormat="1"/>
    <xf numFmtId="0" fontId="1" fillId="0" borderId="0" xfId="0" applyFont="1" applyAlignment="1">
      <alignment horizontal="center"/>
    </xf>
    <xf numFmtId="165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/>
    <xf numFmtId="0" fontId="1" fillId="0" borderId="1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BF!$A$1</c:f>
              <c:strCache>
                <c:ptCount val="1"/>
                <c:pt idx="0">
                  <c:v>TSP - algorytm Brute Force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BF!$B$2:$K$2</c:f>
              <c:numCache>
                <c:formatCode>General</c:formatCode>
                <c:ptCount val="10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</c:numCache>
            </c:numRef>
          </c:cat>
          <c:val>
            <c:numRef>
              <c:f>BF!$B$11:$K$11</c:f>
              <c:numCache>
                <c:formatCode>0</c:formatCode>
                <c:ptCount val="10"/>
                <c:pt idx="0">
                  <c:v>4.125</c:v>
                </c:pt>
                <c:pt idx="1">
                  <c:v>5</c:v>
                </c:pt>
                <c:pt idx="2">
                  <c:v>11.75</c:v>
                </c:pt>
                <c:pt idx="3">
                  <c:v>46.125</c:v>
                </c:pt>
                <c:pt idx="4">
                  <c:v>286.125</c:v>
                </c:pt>
                <c:pt idx="5">
                  <c:v>2279.25</c:v>
                </c:pt>
                <c:pt idx="6">
                  <c:v>21644.25</c:v>
                </c:pt>
                <c:pt idx="7">
                  <c:v>221338.375</c:v>
                </c:pt>
                <c:pt idx="8">
                  <c:v>2433908</c:v>
                </c:pt>
                <c:pt idx="9">
                  <c:v>29332777.5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49-4CE4-9E26-6C45100C9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037376"/>
        <c:axId val="843563728"/>
      </c:lineChart>
      <c:catAx>
        <c:axId val="926037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Ilość miast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563728"/>
        <c:crosses val="autoZero"/>
        <c:auto val="1"/>
        <c:lblAlgn val="ctr"/>
        <c:lblOffset val="100"/>
        <c:noMultiLvlLbl val="0"/>
      </c:catAx>
      <c:valAx>
        <c:axId val="843563728"/>
        <c:scaling>
          <c:orientation val="minMax"/>
          <c:max val="3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Czas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037376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TSP - algorytm Brute Force</a:t>
            </a:r>
          </a:p>
          <a:p>
            <a:pPr>
              <a:defRPr/>
            </a:pPr>
            <a:r>
              <a:rPr lang="en-US"/>
              <a:t>(skala</a:t>
            </a:r>
            <a:r>
              <a:rPr lang="en-US" baseline="0"/>
              <a:t> logarytmiczna)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BF!$A$1</c:f>
              <c:strCache>
                <c:ptCount val="1"/>
                <c:pt idx="0">
                  <c:v>TSP - algorytm Brute Force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BF!$B$2:$K$2</c:f>
              <c:numCache>
                <c:formatCode>General</c:formatCode>
                <c:ptCount val="10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</c:numCache>
            </c:numRef>
          </c:cat>
          <c:val>
            <c:numRef>
              <c:f>BF!$B$11:$K$11</c:f>
              <c:numCache>
                <c:formatCode>0</c:formatCode>
                <c:ptCount val="10"/>
                <c:pt idx="0">
                  <c:v>4.125</c:v>
                </c:pt>
                <c:pt idx="1">
                  <c:v>5</c:v>
                </c:pt>
                <c:pt idx="2">
                  <c:v>11.75</c:v>
                </c:pt>
                <c:pt idx="3">
                  <c:v>46.125</c:v>
                </c:pt>
                <c:pt idx="4">
                  <c:v>286.125</c:v>
                </c:pt>
                <c:pt idx="5">
                  <c:v>2279.25</c:v>
                </c:pt>
                <c:pt idx="6">
                  <c:v>21644.25</c:v>
                </c:pt>
                <c:pt idx="7">
                  <c:v>221338.375</c:v>
                </c:pt>
                <c:pt idx="8">
                  <c:v>2433908</c:v>
                </c:pt>
                <c:pt idx="9">
                  <c:v>29332777.5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76-4911-B576-652286B7954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26037376"/>
        <c:axId val="843563728"/>
      </c:lineChart>
      <c:catAx>
        <c:axId val="926037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Ilość miast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563728"/>
        <c:crosses val="autoZero"/>
        <c:auto val="1"/>
        <c:lblAlgn val="ctr"/>
        <c:lblOffset val="100"/>
        <c:noMultiLvlLbl val="0"/>
      </c:catAx>
      <c:valAx>
        <c:axId val="84356372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Czas [µs]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03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TSP - algorytm Branch and Bound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BnB!$B$2:$S$2</c:f>
              <c:numCache>
                <c:formatCode>General</c:formatCode>
                <c:ptCount val="1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</c:numCache>
            </c:numRef>
          </c:cat>
          <c:val>
            <c:numRef>
              <c:f>BnB!$B$11:$S$11</c:f>
              <c:numCache>
                <c:formatCode>0.0</c:formatCode>
                <c:ptCount val="18"/>
                <c:pt idx="0">
                  <c:v>5.375</c:v>
                </c:pt>
                <c:pt idx="1">
                  <c:v>7.375</c:v>
                </c:pt>
                <c:pt idx="2">
                  <c:v>11.75</c:v>
                </c:pt>
                <c:pt idx="3">
                  <c:v>19</c:v>
                </c:pt>
                <c:pt idx="4">
                  <c:v>37.875</c:v>
                </c:pt>
                <c:pt idx="5">
                  <c:v>125.625</c:v>
                </c:pt>
                <c:pt idx="6">
                  <c:v>330.25</c:v>
                </c:pt>
                <c:pt idx="7">
                  <c:v>835</c:v>
                </c:pt>
                <c:pt idx="8">
                  <c:v>1279.125</c:v>
                </c:pt>
                <c:pt idx="9">
                  <c:v>5151.5</c:v>
                </c:pt>
                <c:pt idx="10">
                  <c:v>12031.75</c:v>
                </c:pt>
                <c:pt idx="11">
                  <c:v>24713</c:v>
                </c:pt>
                <c:pt idx="12">
                  <c:v>25090.625</c:v>
                </c:pt>
                <c:pt idx="13">
                  <c:v>310496.375</c:v>
                </c:pt>
                <c:pt idx="14">
                  <c:v>445258.75</c:v>
                </c:pt>
                <c:pt idx="15">
                  <c:v>1269769.625</c:v>
                </c:pt>
                <c:pt idx="16">
                  <c:v>1284668.75</c:v>
                </c:pt>
                <c:pt idx="17">
                  <c:v>3720715.625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BC-41C8-9F39-1AE3B21AB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037376"/>
        <c:axId val="843563728"/>
      </c:lineChart>
      <c:catAx>
        <c:axId val="926037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Ilość miast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563728"/>
        <c:crosses val="autoZero"/>
        <c:auto val="1"/>
        <c:lblAlgn val="ctr"/>
        <c:lblOffset val="100"/>
        <c:noMultiLvlLbl val="0"/>
      </c:catAx>
      <c:valAx>
        <c:axId val="84356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Czas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037376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TSP - algorytm Branch and Bound</a:t>
            </a:r>
          </a:p>
          <a:p>
            <a:pPr>
              <a:defRPr/>
            </a:pPr>
            <a:r>
              <a:rPr lang="en-US"/>
              <a:t>(skala</a:t>
            </a:r>
            <a:r>
              <a:rPr lang="en-US" baseline="0"/>
              <a:t> logarytmiczna)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BnB!$B$2:$S$2</c:f>
              <c:numCache>
                <c:formatCode>General</c:formatCode>
                <c:ptCount val="1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</c:numCache>
            </c:numRef>
          </c:cat>
          <c:val>
            <c:numRef>
              <c:f>BnB!$B$11:$S$11</c:f>
              <c:numCache>
                <c:formatCode>0.0</c:formatCode>
                <c:ptCount val="18"/>
                <c:pt idx="0">
                  <c:v>5.375</c:v>
                </c:pt>
                <c:pt idx="1">
                  <c:v>7.375</c:v>
                </c:pt>
                <c:pt idx="2">
                  <c:v>11.75</c:v>
                </c:pt>
                <c:pt idx="3">
                  <c:v>19</c:v>
                </c:pt>
                <c:pt idx="4">
                  <c:v>37.875</c:v>
                </c:pt>
                <c:pt idx="5">
                  <c:v>125.625</c:v>
                </c:pt>
                <c:pt idx="6">
                  <c:v>330.25</c:v>
                </c:pt>
                <c:pt idx="7">
                  <c:v>835</c:v>
                </c:pt>
                <c:pt idx="8">
                  <c:v>1279.125</c:v>
                </c:pt>
                <c:pt idx="9">
                  <c:v>5151.5</c:v>
                </c:pt>
                <c:pt idx="10">
                  <c:v>12031.75</c:v>
                </c:pt>
                <c:pt idx="11">
                  <c:v>24713</c:v>
                </c:pt>
                <c:pt idx="12">
                  <c:v>25090.625</c:v>
                </c:pt>
                <c:pt idx="13">
                  <c:v>310496.375</c:v>
                </c:pt>
                <c:pt idx="14">
                  <c:v>445258.75</c:v>
                </c:pt>
                <c:pt idx="15">
                  <c:v>1269769.625</c:v>
                </c:pt>
                <c:pt idx="16">
                  <c:v>1284668.75</c:v>
                </c:pt>
                <c:pt idx="17">
                  <c:v>3720715.625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63-4098-8003-AFD52440E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037376"/>
        <c:axId val="843563728"/>
      </c:lineChart>
      <c:catAx>
        <c:axId val="926037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Ilość miast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563728"/>
        <c:crosses val="autoZero"/>
        <c:auto val="1"/>
        <c:lblAlgn val="ctr"/>
        <c:lblOffset val="100"/>
        <c:noMultiLvlLbl val="0"/>
      </c:catAx>
      <c:valAx>
        <c:axId val="84356372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Czas [µs]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03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TSP - porównanie algorytmów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comparison!$B$3</c:f>
              <c:strCache>
                <c:ptCount val="1"/>
                <c:pt idx="0">
                  <c:v>Brute Force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comparison!$C$2:$T$2</c:f>
              <c:numCache>
                <c:formatCode>General</c:formatCode>
                <c:ptCount val="1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</c:numCache>
            </c:numRef>
          </c:cat>
          <c:val>
            <c:numRef>
              <c:f>comparison!$C$3:$T$3</c:f>
              <c:numCache>
                <c:formatCode>0.0</c:formatCode>
                <c:ptCount val="18"/>
                <c:pt idx="0">
                  <c:v>4.125</c:v>
                </c:pt>
                <c:pt idx="1">
                  <c:v>5</c:v>
                </c:pt>
                <c:pt idx="2">
                  <c:v>11.75</c:v>
                </c:pt>
                <c:pt idx="3">
                  <c:v>46.125</c:v>
                </c:pt>
                <c:pt idx="4">
                  <c:v>286.125</c:v>
                </c:pt>
                <c:pt idx="5">
                  <c:v>2279.25</c:v>
                </c:pt>
                <c:pt idx="6">
                  <c:v>21644.25</c:v>
                </c:pt>
                <c:pt idx="7">
                  <c:v>221338.375</c:v>
                </c:pt>
                <c:pt idx="8">
                  <c:v>2433908</c:v>
                </c:pt>
                <c:pt idx="9">
                  <c:v>29332777.5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B-4119-AE77-01694118FDDC}"/>
            </c:ext>
          </c:extLst>
        </c:ser>
        <c:ser>
          <c:idx val="1"/>
          <c:order val="1"/>
          <c:tx>
            <c:strRef>
              <c:f>comparison!$B$4</c:f>
              <c:strCache>
                <c:ptCount val="1"/>
                <c:pt idx="0">
                  <c:v>Branch and Bound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comparison!$C$2:$T$2</c:f>
              <c:numCache>
                <c:formatCode>General</c:formatCode>
                <c:ptCount val="1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</c:numCache>
            </c:numRef>
          </c:cat>
          <c:val>
            <c:numRef>
              <c:f>comparison!$C$4:$T$4</c:f>
              <c:numCache>
                <c:formatCode>0.0</c:formatCode>
                <c:ptCount val="18"/>
                <c:pt idx="0">
                  <c:v>5.375</c:v>
                </c:pt>
                <c:pt idx="1">
                  <c:v>7.375</c:v>
                </c:pt>
                <c:pt idx="2">
                  <c:v>11.75</c:v>
                </c:pt>
                <c:pt idx="3">
                  <c:v>19</c:v>
                </c:pt>
                <c:pt idx="4">
                  <c:v>37.875</c:v>
                </c:pt>
                <c:pt idx="5">
                  <c:v>125.625</c:v>
                </c:pt>
                <c:pt idx="6">
                  <c:v>330.25</c:v>
                </c:pt>
                <c:pt idx="7">
                  <c:v>835</c:v>
                </c:pt>
                <c:pt idx="8">
                  <c:v>1279.125</c:v>
                </c:pt>
                <c:pt idx="9">
                  <c:v>5151.5</c:v>
                </c:pt>
                <c:pt idx="10">
                  <c:v>12031.75</c:v>
                </c:pt>
                <c:pt idx="11">
                  <c:v>24713</c:v>
                </c:pt>
                <c:pt idx="12">
                  <c:v>25090.625</c:v>
                </c:pt>
                <c:pt idx="13">
                  <c:v>310496.375</c:v>
                </c:pt>
                <c:pt idx="14">
                  <c:v>445258.75</c:v>
                </c:pt>
                <c:pt idx="15">
                  <c:v>1269769.625</c:v>
                </c:pt>
                <c:pt idx="16">
                  <c:v>1284668.75</c:v>
                </c:pt>
                <c:pt idx="17">
                  <c:v>3720715.625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CB-4119-AE77-01694118F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646560"/>
        <c:axId val="845517040"/>
      </c:lineChart>
      <c:catAx>
        <c:axId val="848646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Ilość miast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517040"/>
        <c:crosses val="autoZero"/>
        <c:auto val="1"/>
        <c:lblAlgn val="ctr"/>
        <c:lblOffset val="100"/>
        <c:noMultiLvlLbl val="0"/>
      </c:catAx>
      <c:valAx>
        <c:axId val="845517040"/>
        <c:scaling>
          <c:orientation val="minMax"/>
          <c:max val="4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Czas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64656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TSP - porównanie algorytmów</a:t>
            </a:r>
          </a:p>
          <a:p>
            <a:pPr>
              <a:defRPr/>
            </a:pPr>
            <a:r>
              <a:rPr lang="en-US"/>
              <a:t>(skala logarytmiczna)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comparison!$B$3</c:f>
              <c:strCache>
                <c:ptCount val="1"/>
                <c:pt idx="0">
                  <c:v>Brute Force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comparison!$C$2:$T$2</c:f>
              <c:numCache>
                <c:formatCode>General</c:formatCode>
                <c:ptCount val="1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</c:numCache>
            </c:numRef>
          </c:cat>
          <c:val>
            <c:numRef>
              <c:f>comparison!$C$3:$T$3</c:f>
              <c:numCache>
                <c:formatCode>0.0</c:formatCode>
                <c:ptCount val="18"/>
                <c:pt idx="0">
                  <c:v>4.125</c:v>
                </c:pt>
                <c:pt idx="1">
                  <c:v>5</c:v>
                </c:pt>
                <c:pt idx="2">
                  <c:v>11.75</c:v>
                </c:pt>
                <c:pt idx="3">
                  <c:v>46.125</c:v>
                </c:pt>
                <c:pt idx="4">
                  <c:v>286.125</c:v>
                </c:pt>
                <c:pt idx="5">
                  <c:v>2279.25</c:v>
                </c:pt>
                <c:pt idx="6">
                  <c:v>21644.25</c:v>
                </c:pt>
                <c:pt idx="7">
                  <c:v>221338.375</c:v>
                </c:pt>
                <c:pt idx="8">
                  <c:v>2433908</c:v>
                </c:pt>
                <c:pt idx="9">
                  <c:v>29332777.5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3-4CE1-95D2-4FF6FD04C4FB}"/>
            </c:ext>
          </c:extLst>
        </c:ser>
        <c:ser>
          <c:idx val="1"/>
          <c:order val="1"/>
          <c:tx>
            <c:strRef>
              <c:f>comparison!$B$4</c:f>
              <c:strCache>
                <c:ptCount val="1"/>
                <c:pt idx="0">
                  <c:v>Branch and Bound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comparison!$C$2:$T$2</c:f>
              <c:numCache>
                <c:formatCode>General</c:formatCode>
                <c:ptCount val="1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</c:numCache>
            </c:numRef>
          </c:cat>
          <c:val>
            <c:numRef>
              <c:f>comparison!$C$4:$T$4</c:f>
              <c:numCache>
                <c:formatCode>0.0</c:formatCode>
                <c:ptCount val="18"/>
                <c:pt idx="0">
                  <c:v>5.375</c:v>
                </c:pt>
                <c:pt idx="1">
                  <c:v>7.375</c:v>
                </c:pt>
                <c:pt idx="2">
                  <c:v>11.75</c:v>
                </c:pt>
                <c:pt idx="3">
                  <c:v>19</c:v>
                </c:pt>
                <c:pt idx="4">
                  <c:v>37.875</c:v>
                </c:pt>
                <c:pt idx="5">
                  <c:v>125.625</c:v>
                </c:pt>
                <c:pt idx="6">
                  <c:v>330.25</c:v>
                </c:pt>
                <c:pt idx="7">
                  <c:v>835</c:v>
                </c:pt>
                <c:pt idx="8">
                  <c:v>1279.125</c:v>
                </c:pt>
                <c:pt idx="9">
                  <c:v>5151.5</c:v>
                </c:pt>
                <c:pt idx="10">
                  <c:v>12031.75</c:v>
                </c:pt>
                <c:pt idx="11">
                  <c:v>24713</c:v>
                </c:pt>
                <c:pt idx="12">
                  <c:v>25090.625</c:v>
                </c:pt>
                <c:pt idx="13">
                  <c:v>310496.375</c:v>
                </c:pt>
                <c:pt idx="14">
                  <c:v>445258.75</c:v>
                </c:pt>
                <c:pt idx="15">
                  <c:v>1269769.625</c:v>
                </c:pt>
                <c:pt idx="16">
                  <c:v>1284668.75</c:v>
                </c:pt>
                <c:pt idx="17">
                  <c:v>3720715.625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43-4CE1-95D2-4FF6FD04C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646560"/>
        <c:axId val="845517040"/>
      </c:lineChart>
      <c:catAx>
        <c:axId val="848646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Ilość miast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517040"/>
        <c:crosses val="autoZero"/>
        <c:auto val="1"/>
        <c:lblAlgn val="ctr"/>
        <c:lblOffset val="100"/>
        <c:noMultiLvlLbl val="0"/>
      </c:catAx>
      <c:valAx>
        <c:axId val="845517040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Czas [</a:t>
                </a:r>
                <a:r>
                  <a:rPr lang="en-US" sz="1000" b="0" i="0" u="none" strike="noStrike" baseline="0">
                    <a:effectLst/>
                  </a:rPr>
                  <a:t>µ</a:t>
                </a:r>
                <a:r>
                  <a:rPr lang="en-US"/>
                  <a:t>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64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490537</xdr:colOff>
      <xdr:row>16</xdr:row>
      <xdr:rowOff>157162</xdr:rowOff>
    </xdr:from>
    <xdr:to>
      <xdr:col>8</xdr:col>
      <xdr:colOff>61912</xdr:colOff>
      <xdr:row>35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5559DC-4CB5-40B5-A29B-34D0C2BFA4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638175</xdr:colOff>
      <xdr:row>16</xdr:row>
      <xdr:rowOff>161925</xdr:rowOff>
    </xdr:from>
    <xdr:to>
      <xdr:col>17</xdr:col>
      <xdr:colOff>123825</xdr:colOff>
      <xdr:row>35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9311868-2DD9-4C5E-8A34-5BACF452EA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242887</xdr:colOff>
      <xdr:row>16</xdr:row>
      <xdr:rowOff>157162</xdr:rowOff>
    </xdr:from>
    <xdr:to>
      <xdr:col>9</xdr:col>
      <xdr:colOff>528637</xdr:colOff>
      <xdr:row>35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28EE13-789F-4015-B883-F55CBA8BC5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638175</xdr:colOff>
      <xdr:row>16</xdr:row>
      <xdr:rowOff>161925</xdr:rowOff>
    </xdr:from>
    <xdr:to>
      <xdr:col>17</xdr:col>
      <xdr:colOff>123825</xdr:colOff>
      <xdr:row>35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ADC478-FFD4-4D47-99EC-A1E9ADBAA4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338137</xdr:colOff>
      <xdr:row>9</xdr:row>
      <xdr:rowOff>176212</xdr:rowOff>
    </xdr:from>
    <xdr:to>
      <xdr:col>9</xdr:col>
      <xdr:colOff>442912</xdr:colOff>
      <xdr:row>27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D9D4CE-8ADE-444E-BF45-49C68DCC04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257175</xdr:colOff>
      <xdr:row>10</xdr:row>
      <xdr:rowOff>47624</xdr:rowOff>
    </xdr:from>
    <xdr:to>
      <xdr:col>17</xdr:col>
      <xdr:colOff>361950</xdr:colOff>
      <xdr:row>31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16F884D-C76E-4FE0-98D3-C9DF6167C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D7895-2105-4484-93C3-CAB7228F62F4}">
  <sheetPr codeName="Sheet3"/>
  <dimension ref="A1:K12"/>
  <sheetViews>
    <sheetView workbookViewId="0">
      <selection sqref="A1:K12"/>
    </sheetView>
  </sheetViews>
  <sheetFormatPr defaultRowHeight="15" x14ac:dyDescent="0.25"/>
  <cols>
    <col min="1" max="1" width="11.7109375" style="7" customWidth="1"/>
    <col min="2" max="11" width="10.7109375" customWidth="1"/>
  </cols>
  <sheetData>
    <row r="1" spans="1:11" s="2" customFormat="1" x14ac:dyDescent="0.25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</row>
    <row r="2" spans="1:11" s="2" customFormat="1" x14ac:dyDescent="0.25">
      <c r="A2" s="6" t="s">
        <v>1</v>
      </c>
      <c r="B2" s="4">
        <v>3</v>
      </c>
      <c r="C2" s="4">
        <v>4</v>
      </c>
      <c r="D2" s="4">
        <v>5</v>
      </c>
      <c r="E2" s="4">
        <v>6</v>
      </c>
      <c r="F2" s="4">
        <v>7</v>
      </c>
      <c r="G2" s="4">
        <v>8</v>
      </c>
      <c r="H2" s="4">
        <v>9</v>
      </c>
      <c r="I2" s="4">
        <v>10</v>
      </c>
      <c r="J2" s="4">
        <v>11</v>
      </c>
      <c r="K2" s="4">
        <v>12</v>
      </c>
    </row>
    <row r="3" spans="1:11" x14ac:dyDescent="0.25">
      <c r="A3" s="8" t="s">
        <v>2</v>
      </c>
      <c r="B3">
        <v>5</v>
      </c>
      <c r="C3">
        <v>5</v>
      </c>
      <c r="D3">
        <v>13</v>
      </c>
      <c r="E3">
        <v>47</v>
      </c>
      <c r="F3">
        <v>310</v>
      </c>
      <c r="G3">
        <v>2497</v>
      </c>
      <c r="H3">
        <v>29103</v>
      </c>
      <c r="I3">
        <v>284143</v>
      </c>
      <c r="J3">
        <v>2647124</v>
      </c>
      <c r="K3">
        <v>32093844</v>
      </c>
    </row>
    <row r="4" spans="1:11" x14ac:dyDescent="0.25">
      <c r="A4" s="8"/>
      <c r="B4">
        <v>4</v>
      </c>
      <c r="C4">
        <v>5</v>
      </c>
      <c r="D4">
        <v>12</v>
      </c>
      <c r="E4">
        <v>46</v>
      </c>
      <c r="F4">
        <v>293</v>
      </c>
      <c r="G4">
        <v>2439</v>
      </c>
      <c r="H4">
        <v>21615</v>
      </c>
      <c r="I4">
        <v>230494</v>
      </c>
      <c r="J4">
        <v>2571912</v>
      </c>
      <c r="K4">
        <v>31289082</v>
      </c>
    </row>
    <row r="5" spans="1:11" x14ac:dyDescent="0.25">
      <c r="A5" s="8"/>
      <c r="B5">
        <v>4</v>
      </c>
      <c r="C5">
        <v>5</v>
      </c>
      <c r="D5">
        <v>12</v>
      </c>
      <c r="E5">
        <v>46</v>
      </c>
      <c r="F5">
        <v>293</v>
      </c>
      <c r="G5">
        <v>2316</v>
      </c>
      <c r="H5">
        <v>21184</v>
      </c>
      <c r="I5">
        <v>230395</v>
      </c>
      <c r="J5">
        <v>2486521</v>
      </c>
      <c r="K5">
        <v>30746682</v>
      </c>
    </row>
    <row r="6" spans="1:11" x14ac:dyDescent="0.25">
      <c r="A6" s="8"/>
      <c r="B6">
        <v>4</v>
      </c>
      <c r="C6">
        <v>5</v>
      </c>
      <c r="D6">
        <v>12</v>
      </c>
      <c r="E6">
        <v>46</v>
      </c>
      <c r="F6">
        <v>279</v>
      </c>
      <c r="G6">
        <v>2278</v>
      </c>
      <c r="H6">
        <v>20806</v>
      </c>
      <c r="I6">
        <v>221541</v>
      </c>
      <c r="J6">
        <v>2391579</v>
      </c>
      <c r="K6">
        <v>29984849</v>
      </c>
    </row>
    <row r="7" spans="1:11" x14ac:dyDescent="0.25">
      <c r="A7" s="8"/>
      <c r="B7">
        <v>4</v>
      </c>
      <c r="C7">
        <v>5</v>
      </c>
      <c r="D7">
        <v>12</v>
      </c>
      <c r="E7">
        <v>46</v>
      </c>
      <c r="F7">
        <v>279</v>
      </c>
      <c r="G7">
        <v>2227</v>
      </c>
      <c r="H7">
        <v>20574</v>
      </c>
      <c r="I7">
        <v>219549</v>
      </c>
      <c r="J7">
        <v>2382249</v>
      </c>
      <c r="K7">
        <v>28990656</v>
      </c>
    </row>
    <row r="8" spans="1:11" x14ac:dyDescent="0.25">
      <c r="A8" s="8"/>
      <c r="B8">
        <v>4</v>
      </c>
      <c r="C8">
        <v>5</v>
      </c>
      <c r="D8">
        <v>11</v>
      </c>
      <c r="E8">
        <v>46</v>
      </c>
      <c r="F8">
        <v>279</v>
      </c>
      <c r="G8">
        <v>2225</v>
      </c>
      <c r="H8">
        <v>20045</v>
      </c>
      <c r="I8">
        <v>197565</v>
      </c>
      <c r="J8">
        <v>2361108</v>
      </c>
      <c r="K8">
        <v>27455020</v>
      </c>
    </row>
    <row r="9" spans="1:11" x14ac:dyDescent="0.25">
      <c r="A9" s="8"/>
      <c r="B9">
        <v>4</v>
      </c>
      <c r="C9">
        <v>5</v>
      </c>
      <c r="D9">
        <v>11</v>
      </c>
      <c r="E9">
        <v>46</v>
      </c>
      <c r="F9">
        <v>278</v>
      </c>
      <c r="G9">
        <v>2137</v>
      </c>
      <c r="H9">
        <v>20034</v>
      </c>
      <c r="I9">
        <v>195380</v>
      </c>
      <c r="J9">
        <v>2331608</v>
      </c>
      <c r="K9">
        <v>27198634</v>
      </c>
    </row>
    <row r="10" spans="1:11" x14ac:dyDescent="0.25">
      <c r="A10" s="8"/>
      <c r="B10">
        <v>4</v>
      </c>
      <c r="C10">
        <v>5</v>
      </c>
      <c r="D10">
        <v>11</v>
      </c>
      <c r="E10">
        <v>46</v>
      </c>
      <c r="F10">
        <v>278</v>
      </c>
      <c r="G10">
        <v>2115</v>
      </c>
      <c r="H10">
        <v>19793</v>
      </c>
      <c r="I10">
        <v>191640</v>
      </c>
      <c r="J10">
        <v>2299163</v>
      </c>
      <c r="K10">
        <v>26903453</v>
      </c>
    </row>
    <row r="11" spans="1:11" x14ac:dyDescent="0.25">
      <c r="A11" s="6" t="s">
        <v>3</v>
      </c>
      <c r="B11" s="3">
        <f>AVERAGE(B$3:B$10)</f>
        <v>4.125</v>
      </c>
      <c r="C11" s="3">
        <f t="shared" ref="C11:K11" si="0">AVERAGE(C$3:C$10)</f>
        <v>5</v>
      </c>
      <c r="D11" s="3">
        <f t="shared" si="0"/>
        <v>11.75</v>
      </c>
      <c r="E11" s="3">
        <f t="shared" si="0"/>
        <v>46.125</v>
      </c>
      <c r="F11" s="3">
        <f t="shared" si="0"/>
        <v>286.125</v>
      </c>
      <c r="G11" s="3">
        <f t="shared" si="0"/>
        <v>2279.25</v>
      </c>
      <c r="H11" s="3">
        <f t="shared" si="0"/>
        <v>21644.25</v>
      </c>
      <c r="I11" s="3">
        <f t="shared" si="0"/>
        <v>221338.375</v>
      </c>
      <c r="J11" s="3">
        <f t="shared" si="0"/>
        <v>2433908</v>
      </c>
      <c r="K11" s="3">
        <f t="shared" si="0"/>
        <v>29332777.5</v>
      </c>
    </row>
    <row r="12" spans="1:11" x14ac:dyDescent="0.25">
      <c r="A12" s="6" t="s">
        <v>4</v>
      </c>
      <c r="B12" s="5">
        <f t="shared" ref="B12:J12" si="1">B11/1000000</f>
        <v>4.1250000000000003E-6</v>
      </c>
      <c r="C12" s="5">
        <f t="shared" si="1"/>
        <v>5.0000000000000004E-6</v>
      </c>
      <c r="D12" s="5">
        <f t="shared" si="1"/>
        <v>1.1749999999999999E-5</v>
      </c>
      <c r="E12" s="5">
        <f t="shared" si="1"/>
        <v>4.6125000000000003E-5</v>
      </c>
      <c r="F12" s="5">
        <f t="shared" si="1"/>
        <v>2.8612499999999998E-4</v>
      </c>
      <c r="G12" s="5">
        <f t="shared" si="1"/>
        <v>2.27925E-3</v>
      </c>
      <c r="H12" s="5">
        <f t="shared" si="1"/>
        <v>2.164425E-2</v>
      </c>
      <c r="I12" s="5">
        <f t="shared" si="1"/>
        <v>0.221338375</v>
      </c>
      <c r="J12" s="5">
        <f t="shared" si="1"/>
        <v>2.4339080000000002</v>
      </c>
      <c r="K12" s="5">
        <f>K11/1000000</f>
        <v>29.332777499999999</v>
      </c>
    </row>
  </sheetData>
  <sortState ref="K13:K141">
    <sortCondition descending="1" ref="K13"/>
  </sortState>
  <mergeCells count="2">
    <mergeCell ref="A3:A10"/>
    <mergeCell ref="A1:K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19CF-04D9-459A-93E4-8134ACEB3FBA}">
  <sheetPr codeName="Sheet5"/>
  <dimension ref="A1:S12"/>
  <sheetViews>
    <sheetView workbookViewId="0">
      <selection sqref="A1:S12"/>
    </sheetView>
  </sheetViews>
  <sheetFormatPr defaultRowHeight="15" x14ac:dyDescent="0.25"/>
  <cols>
    <col min="1" max="1" width="11.7109375" style="7" customWidth="1"/>
    <col min="2" max="19" width="9.28515625" customWidth="1"/>
  </cols>
  <sheetData>
    <row r="1" spans="1:19" s="2" customFormat="1" x14ac:dyDescent="0.25">
      <c r="A1" s="9" t="s">
        <v>5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</row>
    <row r="2" spans="1:19" s="2" customFormat="1" x14ac:dyDescent="0.25">
      <c r="A2" s="6" t="s">
        <v>1</v>
      </c>
      <c r="B2" s="2">
        <v>3</v>
      </c>
      <c r="C2" s="2">
        <v>4</v>
      </c>
      <c r="D2" s="2">
        <v>5</v>
      </c>
      <c r="E2" s="2">
        <v>6</v>
      </c>
      <c r="F2" s="2">
        <v>7</v>
      </c>
      <c r="G2" s="2">
        <v>8</v>
      </c>
      <c r="H2" s="2">
        <v>9</v>
      </c>
      <c r="I2" s="2">
        <v>10</v>
      </c>
      <c r="J2" s="2">
        <v>11</v>
      </c>
      <c r="K2" s="2">
        <v>12</v>
      </c>
      <c r="L2" s="2">
        <v>13</v>
      </c>
      <c r="M2" s="2">
        <v>14</v>
      </c>
      <c r="N2" s="2">
        <v>15</v>
      </c>
      <c r="O2" s="2">
        <v>16</v>
      </c>
      <c r="P2" s="2">
        <v>17</v>
      </c>
      <c r="Q2" s="2">
        <v>18</v>
      </c>
      <c r="R2" s="2">
        <v>19</v>
      </c>
      <c r="S2" s="2">
        <v>20</v>
      </c>
    </row>
    <row r="3" spans="1:19" x14ac:dyDescent="0.25">
      <c r="A3" s="8" t="s">
        <v>2</v>
      </c>
      <c r="B3">
        <v>6</v>
      </c>
      <c r="C3">
        <v>8</v>
      </c>
      <c r="D3">
        <v>14</v>
      </c>
      <c r="E3">
        <v>23</v>
      </c>
      <c r="F3">
        <v>61</v>
      </c>
      <c r="G3">
        <v>189</v>
      </c>
      <c r="H3">
        <v>454</v>
      </c>
      <c r="I3">
        <v>1452</v>
      </c>
      <c r="J3">
        <v>1627</v>
      </c>
      <c r="K3">
        <v>8784</v>
      </c>
      <c r="L3">
        <v>29020</v>
      </c>
      <c r="M3">
        <v>50681</v>
      </c>
      <c r="N3">
        <v>52001</v>
      </c>
      <c r="O3">
        <v>967324</v>
      </c>
      <c r="P3">
        <v>1044588</v>
      </c>
      <c r="Q3">
        <v>2870341</v>
      </c>
      <c r="R3">
        <v>2112004</v>
      </c>
      <c r="S3">
        <v>10141075</v>
      </c>
    </row>
    <row r="4" spans="1:19" x14ac:dyDescent="0.25">
      <c r="A4" s="8"/>
      <c r="B4">
        <v>6</v>
      </c>
      <c r="C4">
        <v>8</v>
      </c>
      <c r="D4">
        <v>13</v>
      </c>
      <c r="E4">
        <v>22</v>
      </c>
      <c r="F4">
        <v>55</v>
      </c>
      <c r="G4">
        <v>180</v>
      </c>
      <c r="H4">
        <v>423</v>
      </c>
      <c r="I4">
        <v>1001</v>
      </c>
      <c r="J4">
        <v>1568</v>
      </c>
      <c r="K4">
        <v>8666</v>
      </c>
      <c r="L4">
        <v>16055</v>
      </c>
      <c r="M4">
        <v>45741</v>
      </c>
      <c r="N4">
        <v>32772</v>
      </c>
      <c r="O4">
        <v>776089</v>
      </c>
      <c r="P4">
        <v>628405</v>
      </c>
      <c r="Q4">
        <v>2281401</v>
      </c>
      <c r="R4">
        <v>2014587</v>
      </c>
      <c r="S4">
        <v>8355843</v>
      </c>
    </row>
    <row r="5" spans="1:19" x14ac:dyDescent="0.25">
      <c r="A5" s="8"/>
      <c r="B5">
        <v>6</v>
      </c>
      <c r="C5">
        <v>8</v>
      </c>
      <c r="D5">
        <v>12</v>
      </c>
      <c r="E5">
        <v>21</v>
      </c>
      <c r="F5">
        <v>42</v>
      </c>
      <c r="G5">
        <v>170</v>
      </c>
      <c r="H5">
        <v>393</v>
      </c>
      <c r="I5">
        <v>970</v>
      </c>
      <c r="J5">
        <v>1481</v>
      </c>
      <c r="K5">
        <v>7257</v>
      </c>
      <c r="L5">
        <v>14871</v>
      </c>
      <c r="M5">
        <v>32478</v>
      </c>
      <c r="N5">
        <v>27187</v>
      </c>
      <c r="O5">
        <v>290505</v>
      </c>
      <c r="P5">
        <v>538873</v>
      </c>
      <c r="Q5">
        <v>1890002</v>
      </c>
      <c r="R5">
        <v>1630270</v>
      </c>
      <c r="S5">
        <v>2649255</v>
      </c>
    </row>
    <row r="6" spans="1:19" x14ac:dyDescent="0.25">
      <c r="A6" s="8"/>
      <c r="B6">
        <v>5</v>
      </c>
      <c r="C6">
        <v>8</v>
      </c>
      <c r="D6">
        <v>12</v>
      </c>
      <c r="E6">
        <v>18</v>
      </c>
      <c r="F6">
        <v>36</v>
      </c>
      <c r="G6">
        <v>158</v>
      </c>
      <c r="H6">
        <v>348</v>
      </c>
      <c r="I6">
        <v>864</v>
      </c>
      <c r="J6">
        <v>1306</v>
      </c>
      <c r="K6">
        <v>4432</v>
      </c>
      <c r="L6">
        <v>11873</v>
      </c>
      <c r="M6">
        <v>30323</v>
      </c>
      <c r="N6">
        <v>26815</v>
      </c>
      <c r="O6">
        <v>129206</v>
      </c>
      <c r="P6">
        <v>424485</v>
      </c>
      <c r="Q6">
        <v>1440893</v>
      </c>
      <c r="R6">
        <v>1228437</v>
      </c>
      <c r="S6">
        <v>2390880</v>
      </c>
    </row>
    <row r="7" spans="1:19" x14ac:dyDescent="0.25">
      <c r="A7" s="8"/>
      <c r="B7">
        <v>5</v>
      </c>
      <c r="C7">
        <v>7</v>
      </c>
      <c r="D7">
        <v>12</v>
      </c>
      <c r="E7">
        <v>18</v>
      </c>
      <c r="F7">
        <v>31</v>
      </c>
      <c r="G7">
        <v>90</v>
      </c>
      <c r="H7">
        <v>302</v>
      </c>
      <c r="I7">
        <v>730</v>
      </c>
      <c r="J7">
        <v>1140</v>
      </c>
      <c r="K7">
        <v>3488</v>
      </c>
      <c r="L7">
        <v>7412</v>
      </c>
      <c r="M7">
        <v>16191</v>
      </c>
      <c r="N7">
        <v>20078</v>
      </c>
      <c r="O7">
        <v>122203</v>
      </c>
      <c r="P7">
        <v>303288</v>
      </c>
      <c r="Q7">
        <v>694936</v>
      </c>
      <c r="R7">
        <v>1138605</v>
      </c>
      <c r="S7">
        <v>2359044</v>
      </c>
    </row>
    <row r="8" spans="1:19" x14ac:dyDescent="0.25">
      <c r="A8" s="8"/>
      <c r="B8">
        <v>5</v>
      </c>
      <c r="C8">
        <v>7</v>
      </c>
      <c r="D8">
        <v>11</v>
      </c>
      <c r="E8">
        <v>17</v>
      </c>
      <c r="F8">
        <v>31</v>
      </c>
      <c r="G8">
        <v>74</v>
      </c>
      <c r="H8">
        <v>284</v>
      </c>
      <c r="I8">
        <v>721</v>
      </c>
      <c r="J8">
        <v>1080</v>
      </c>
      <c r="K8">
        <v>3356</v>
      </c>
      <c r="L8">
        <v>6002</v>
      </c>
      <c r="M8">
        <v>7800</v>
      </c>
      <c r="N8">
        <v>15774</v>
      </c>
      <c r="O8">
        <v>99745</v>
      </c>
      <c r="P8">
        <v>227769</v>
      </c>
      <c r="Q8">
        <v>414274</v>
      </c>
      <c r="R8">
        <v>963934</v>
      </c>
      <c r="S8">
        <v>1829464</v>
      </c>
    </row>
    <row r="9" spans="1:19" x14ac:dyDescent="0.25">
      <c r="A9" s="8"/>
      <c r="B9">
        <v>5</v>
      </c>
      <c r="C9">
        <v>7</v>
      </c>
      <c r="D9">
        <v>10</v>
      </c>
      <c r="E9">
        <v>17</v>
      </c>
      <c r="F9">
        <v>25</v>
      </c>
      <c r="G9">
        <v>72</v>
      </c>
      <c r="H9">
        <v>266</v>
      </c>
      <c r="I9">
        <v>493</v>
      </c>
      <c r="J9">
        <v>1018</v>
      </c>
      <c r="K9">
        <v>3255</v>
      </c>
      <c r="L9">
        <v>5949</v>
      </c>
      <c r="M9">
        <v>7252</v>
      </c>
      <c r="N9">
        <v>14077</v>
      </c>
      <c r="O9">
        <v>52543</v>
      </c>
      <c r="P9">
        <v>220346</v>
      </c>
      <c r="Q9">
        <v>304858</v>
      </c>
      <c r="R9">
        <v>943701</v>
      </c>
      <c r="S9">
        <v>1221485</v>
      </c>
    </row>
    <row r="10" spans="1:19" x14ac:dyDescent="0.25">
      <c r="A10" s="8"/>
      <c r="B10">
        <v>5</v>
      </c>
      <c r="C10">
        <v>6</v>
      </c>
      <c r="D10">
        <v>10</v>
      </c>
      <c r="E10">
        <v>16</v>
      </c>
      <c r="F10">
        <v>22</v>
      </c>
      <c r="G10">
        <v>72</v>
      </c>
      <c r="H10">
        <v>172</v>
      </c>
      <c r="I10">
        <v>449</v>
      </c>
      <c r="J10">
        <v>1013</v>
      </c>
      <c r="K10">
        <v>1974</v>
      </c>
      <c r="L10">
        <v>5072</v>
      </c>
      <c r="M10">
        <v>7238</v>
      </c>
      <c r="N10">
        <v>12021</v>
      </c>
      <c r="O10">
        <v>46356</v>
      </c>
      <c r="P10">
        <v>174316</v>
      </c>
      <c r="Q10">
        <v>261452</v>
      </c>
      <c r="R10">
        <v>245812</v>
      </c>
      <c r="S10">
        <v>818679</v>
      </c>
    </row>
    <row r="11" spans="1:19" x14ac:dyDescent="0.25">
      <c r="A11" s="6" t="s">
        <v>3</v>
      </c>
      <c r="B11" s="1">
        <f>AVERAGE(B3:B10)</f>
        <v>5.375</v>
      </c>
      <c r="C11" s="1">
        <f t="shared" ref="C11:S11" si="0">AVERAGE(C3:C10)</f>
        <v>7.375</v>
      </c>
      <c r="D11" s="1">
        <f t="shared" si="0"/>
        <v>11.75</v>
      </c>
      <c r="E11" s="1">
        <f t="shared" si="0"/>
        <v>19</v>
      </c>
      <c r="F11" s="1">
        <f t="shared" si="0"/>
        <v>37.875</v>
      </c>
      <c r="G11" s="1">
        <f t="shared" si="0"/>
        <v>125.625</v>
      </c>
      <c r="H11" s="1">
        <f t="shared" si="0"/>
        <v>330.25</v>
      </c>
      <c r="I11" s="1">
        <f t="shared" si="0"/>
        <v>835</v>
      </c>
      <c r="J11" s="1">
        <f t="shared" si="0"/>
        <v>1279.125</v>
      </c>
      <c r="K11" s="1">
        <f t="shared" si="0"/>
        <v>5151.5</v>
      </c>
      <c r="L11" s="1">
        <f t="shared" si="0"/>
        <v>12031.75</v>
      </c>
      <c r="M11" s="1">
        <f t="shared" si="0"/>
        <v>24713</v>
      </c>
      <c r="N11" s="1">
        <f t="shared" si="0"/>
        <v>25090.625</v>
      </c>
      <c r="O11" s="1">
        <f t="shared" si="0"/>
        <v>310496.375</v>
      </c>
      <c r="P11" s="1">
        <f t="shared" si="0"/>
        <v>445258.75</v>
      </c>
      <c r="Q11" s="1">
        <f t="shared" si="0"/>
        <v>1269769.625</v>
      </c>
      <c r="R11" s="1">
        <f t="shared" si="0"/>
        <v>1284668.75</v>
      </c>
      <c r="S11" s="1">
        <f t="shared" si="0"/>
        <v>3720715.625</v>
      </c>
    </row>
    <row r="12" spans="1:19" x14ac:dyDescent="0.25">
      <c r="A12" s="6" t="s">
        <v>4</v>
      </c>
      <c r="B12" s="5">
        <f t="shared" ref="B12:K12" si="1">B11/1000000</f>
        <v>5.3750000000000002E-6</v>
      </c>
      <c r="C12" s="5">
        <f t="shared" si="1"/>
        <v>7.3749999999999997E-6</v>
      </c>
      <c r="D12" s="5">
        <f t="shared" si="1"/>
        <v>1.1749999999999999E-5</v>
      </c>
      <c r="E12" s="5">
        <f t="shared" si="1"/>
        <v>1.9000000000000001E-5</v>
      </c>
      <c r="F12" s="5">
        <f t="shared" si="1"/>
        <v>3.7874999999999999E-5</v>
      </c>
      <c r="G12" s="5">
        <f t="shared" si="1"/>
        <v>1.25625E-4</v>
      </c>
      <c r="H12" s="5">
        <f t="shared" si="1"/>
        <v>3.3024999999999998E-4</v>
      </c>
      <c r="I12" s="5">
        <f t="shared" si="1"/>
        <v>8.3500000000000002E-4</v>
      </c>
      <c r="J12" s="5">
        <f t="shared" si="1"/>
        <v>1.2791250000000001E-3</v>
      </c>
      <c r="K12" s="5">
        <f t="shared" si="1"/>
        <v>5.1514999999999998E-3</v>
      </c>
      <c r="L12" s="5">
        <f t="shared" ref="L12:S12" si="2">L11/1000000</f>
        <v>1.2031750000000001E-2</v>
      </c>
      <c r="M12" s="5">
        <f t="shared" si="2"/>
        <v>2.4712999999999999E-2</v>
      </c>
      <c r="N12" s="5">
        <f t="shared" si="2"/>
        <v>2.5090624999999998E-2</v>
      </c>
      <c r="O12" s="5">
        <f t="shared" si="2"/>
        <v>0.31049637499999999</v>
      </c>
      <c r="P12" s="5">
        <f t="shared" si="2"/>
        <v>0.44525874999999998</v>
      </c>
      <c r="Q12" s="5">
        <f t="shared" si="2"/>
        <v>1.2697696249999999</v>
      </c>
      <c r="R12" s="5">
        <f t="shared" si="2"/>
        <v>1.28466875</v>
      </c>
      <c r="S12" s="5">
        <f t="shared" si="2"/>
        <v>3.720715625</v>
      </c>
    </row>
  </sheetData>
  <sortState ref="S12:S1048576">
    <sortCondition descending="1" ref="S12"/>
  </sortState>
  <mergeCells count="2">
    <mergeCell ref="A3:A10"/>
    <mergeCell ref="A1:S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E8054-CAC6-4F33-A909-3E4148A5D340}">
  <dimension ref="A1:T4"/>
  <sheetViews>
    <sheetView workbookViewId="0">
      <selection sqref="A1:T4"/>
    </sheetView>
  </sheetViews>
  <sheetFormatPr defaultRowHeight="15" x14ac:dyDescent="0.25"/>
  <cols>
    <col min="1" max="1" width="9.140625" bestFit="1" customWidth="1"/>
    <col min="2" max="2" width="17" bestFit="1" customWidth="1"/>
    <col min="3" max="20" width="10.7109375" customWidth="1"/>
  </cols>
  <sheetData>
    <row r="1" spans="1:20" x14ac:dyDescent="0.25">
      <c r="A1" s="10" t="s">
        <v>6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</row>
    <row r="2" spans="1:20" s="6" customFormat="1" x14ac:dyDescent="0.25">
      <c r="A2" s="10" t="s">
        <v>1</v>
      </c>
      <c r="B2" s="10"/>
      <c r="C2" s="6">
        <v>3</v>
      </c>
      <c r="D2" s="6">
        <v>4</v>
      </c>
      <c r="E2" s="6">
        <v>5</v>
      </c>
      <c r="F2" s="6">
        <v>6</v>
      </c>
      <c r="G2" s="6">
        <v>7</v>
      </c>
      <c r="H2" s="6">
        <v>8</v>
      </c>
      <c r="I2" s="6">
        <v>9</v>
      </c>
      <c r="J2" s="6">
        <v>10</v>
      </c>
      <c r="K2" s="6">
        <v>11</v>
      </c>
      <c r="L2" s="6">
        <v>12</v>
      </c>
      <c r="M2" s="6">
        <v>13</v>
      </c>
      <c r="N2" s="6">
        <v>14</v>
      </c>
      <c r="O2" s="6">
        <v>15</v>
      </c>
      <c r="P2" s="6">
        <v>16</v>
      </c>
      <c r="Q2" s="6">
        <v>17</v>
      </c>
      <c r="R2" s="6">
        <v>18</v>
      </c>
      <c r="S2" s="6">
        <v>19</v>
      </c>
      <c r="T2" s="6">
        <v>20</v>
      </c>
    </row>
    <row r="3" spans="1:20" x14ac:dyDescent="0.25">
      <c r="A3" s="10" t="s">
        <v>7</v>
      </c>
      <c r="B3" s="6" t="s">
        <v>8</v>
      </c>
      <c r="C3" s="1">
        <f>BF!B11</f>
        <v>4.125</v>
      </c>
      <c r="D3" s="1">
        <f>BF!C11</f>
        <v>5</v>
      </c>
      <c r="E3" s="1">
        <f>BF!D11</f>
        <v>11.75</v>
      </c>
      <c r="F3" s="1">
        <f>BF!E11</f>
        <v>46.125</v>
      </c>
      <c r="G3" s="1">
        <f>BF!F11</f>
        <v>286.125</v>
      </c>
      <c r="H3" s="1">
        <f>BF!G11</f>
        <v>2279.25</v>
      </c>
      <c r="I3" s="1">
        <f>BF!H11</f>
        <v>21644.25</v>
      </c>
      <c r="J3" s="1">
        <f>BF!I11</f>
        <v>221338.375</v>
      </c>
      <c r="K3" s="1">
        <f>BF!J11</f>
        <v>2433908</v>
      </c>
      <c r="L3" s="1">
        <f>BF!K11</f>
        <v>29332777.5</v>
      </c>
      <c r="M3" s="1"/>
      <c r="N3" s="1"/>
      <c r="O3" s="1"/>
      <c r="P3" s="1"/>
      <c r="Q3" s="1"/>
      <c r="R3" s="1"/>
      <c r="S3" s="1"/>
      <c r="T3" s="1"/>
    </row>
    <row r="4" spans="1:20" x14ac:dyDescent="0.25">
      <c r="A4" s="10"/>
      <c r="B4" s="6" t="s">
        <v>9</v>
      </c>
      <c r="C4" s="1">
        <f>BnB!B11</f>
        <v>5.375</v>
      </c>
      <c r="D4" s="1">
        <f>BnB!C11</f>
        <v>7.375</v>
      </c>
      <c r="E4" s="1">
        <f>BnB!D11</f>
        <v>11.75</v>
      </c>
      <c r="F4" s="1">
        <f>BnB!E11</f>
        <v>19</v>
      </c>
      <c r="G4" s="1">
        <f>BnB!F11</f>
        <v>37.875</v>
      </c>
      <c r="H4" s="1">
        <f>BnB!G11</f>
        <v>125.625</v>
      </c>
      <c r="I4" s="1">
        <f>BnB!H11</f>
        <v>330.25</v>
      </c>
      <c r="J4" s="1">
        <f>BnB!I11</f>
        <v>835</v>
      </c>
      <c r="K4" s="1">
        <f>BnB!J11</f>
        <v>1279.125</v>
      </c>
      <c r="L4" s="1">
        <f>BnB!K11</f>
        <v>5151.5</v>
      </c>
      <c r="M4" s="1">
        <f>BnB!L11</f>
        <v>12031.75</v>
      </c>
      <c r="N4" s="1">
        <f>BnB!M11</f>
        <v>24713</v>
      </c>
      <c r="O4" s="1">
        <f>BnB!N11</f>
        <v>25090.625</v>
      </c>
      <c r="P4" s="1">
        <f>BnB!O11</f>
        <v>310496.375</v>
      </c>
      <c r="Q4" s="1">
        <f>BnB!P11</f>
        <v>445258.75</v>
      </c>
      <c r="R4" s="1">
        <f>BnB!Q11</f>
        <v>1269769.625</v>
      </c>
      <c r="S4" s="1">
        <f>BnB!R11</f>
        <v>1284668.75</v>
      </c>
      <c r="T4" s="1">
        <f>BnB!S11</f>
        <v>3720715.625</v>
      </c>
    </row>
  </sheetData>
  <mergeCells count="3">
    <mergeCell ref="A2:B2"/>
    <mergeCell ref="A1:T1"/>
    <mergeCell ref="A3:A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82931-396C-481C-809C-9F9F8298D873}">
  <sheetPr>
    <pageSetUpPr fitToPage="1"/>
  </sheetPr>
  <dimension ref="A1:T30"/>
  <sheetViews>
    <sheetView tabSelected="1" workbookViewId="0">
      <selection sqref="A1:T30"/>
    </sheetView>
  </sheetViews>
  <sheetFormatPr defaultRowHeight="15" x14ac:dyDescent="0.25"/>
  <cols>
    <col min="1" max="1" width="12.85546875" customWidth="1"/>
    <col min="2" max="2" width="11.7109375" customWidth="1"/>
    <col min="3" max="3" width="12" bestFit="1" customWidth="1"/>
    <col min="4" max="4" width="11.7109375" customWidth="1"/>
    <col min="6" max="6" width="12" bestFit="1" customWidth="1"/>
  </cols>
  <sheetData>
    <row r="1" spans="1:19" x14ac:dyDescent="0.25">
      <c r="A1" s="12" t="str">
        <f>BF!A1</f>
        <v>TSP - algorytm Brute Force</v>
      </c>
      <c r="B1" s="12"/>
      <c r="C1" s="12"/>
      <c r="D1" s="12"/>
      <c r="E1" s="12"/>
      <c r="F1" s="12"/>
      <c r="G1" s="12"/>
      <c r="H1" s="12"/>
      <c r="I1" s="12"/>
      <c r="J1" s="12"/>
      <c r="K1" s="12"/>
    </row>
    <row r="2" spans="1:19" x14ac:dyDescent="0.25">
      <c r="A2" s="13" t="str">
        <f>BF!A2</f>
        <v>Ilość miast</v>
      </c>
      <c r="B2" s="13">
        <f>BF!B2</f>
        <v>3</v>
      </c>
      <c r="C2" s="13">
        <f>BF!C2</f>
        <v>4</v>
      </c>
      <c r="D2" s="13">
        <f>BF!D2</f>
        <v>5</v>
      </c>
      <c r="E2" s="13">
        <f>BF!E2</f>
        <v>6</v>
      </c>
      <c r="F2" s="13">
        <f>BF!F2</f>
        <v>7</v>
      </c>
      <c r="G2" s="13">
        <f>BF!G2</f>
        <v>8</v>
      </c>
      <c r="H2" s="13">
        <f>BF!H2</f>
        <v>9</v>
      </c>
      <c r="I2" s="13">
        <f>BF!I2</f>
        <v>10</v>
      </c>
      <c r="J2" s="13">
        <f>BF!J2</f>
        <v>11</v>
      </c>
      <c r="K2" s="13">
        <f>BF!K2</f>
        <v>12</v>
      </c>
    </row>
    <row r="3" spans="1:19" x14ac:dyDescent="0.25">
      <c r="A3" s="12" t="str">
        <f>BF!A3</f>
        <v>Wyniki pomiarów</v>
      </c>
      <c r="B3" s="14">
        <f>BF!B3</f>
        <v>5</v>
      </c>
      <c r="C3" s="14">
        <f>BF!C3</f>
        <v>5</v>
      </c>
      <c r="D3" s="14">
        <f>BF!D3</f>
        <v>13</v>
      </c>
      <c r="E3" s="14">
        <f>BF!E3</f>
        <v>47</v>
      </c>
      <c r="F3" s="14">
        <f>BF!F3</f>
        <v>310</v>
      </c>
      <c r="G3" s="14">
        <f>BF!G3</f>
        <v>2497</v>
      </c>
      <c r="H3" s="14">
        <f>BF!H3</f>
        <v>29103</v>
      </c>
      <c r="I3" s="14">
        <f>BF!I3</f>
        <v>284143</v>
      </c>
      <c r="J3" s="14">
        <f>BF!J3</f>
        <v>2647124</v>
      </c>
      <c r="K3" s="14">
        <f>BF!K3</f>
        <v>32093844</v>
      </c>
    </row>
    <row r="4" spans="1:19" x14ac:dyDescent="0.25">
      <c r="A4" s="12"/>
      <c r="B4" s="14">
        <f>BF!B4</f>
        <v>4</v>
      </c>
      <c r="C4" s="14">
        <f>BF!C4</f>
        <v>5</v>
      </c>
      <c r="D4" s="14">
        <f>BF!D4</f>
        <v>12</v>
      </c>
      <c r="E4" s="14">
        <f>BF!E4</f>
        <v>46</v>
      </c>
      <c r="F4" s="14">
        <f>BF!F4</f>
        <v>293</v>
      </c>
      <c r="G4" s="14">
        <f>BF!G4</f>
        <v>2439</v>
      </c>
      <c r="H4" s="14">
        <f>BF!H4</f>
        <v>21615</v>
      </c>
      <c r="I4" s="14">
        <f>BF!I4</f>
        <v>230494</v>
      </c>
      <c r="J4" s="14">
        <f>BF!J4</f>
        <v>2571912</v>
      </c>
      <c r="K4" s="14">
        <f>BF!K4</f>
        <v>31289082</v>
      </c>
    </row>
    <row r="5" spans="1:19" x14ac:dyDescent="0.25">
      <c r="A5" s="12"/>
      <c r="B5" s="14">
        <f>BF!B5</f>
        <v>4</v>
      </c>
      <c r="C5" s="14">
        <f>BF!C5</f>
        <v>5</v>
      </c>
      <c r="D5" s="14">
        <f>BF!D5</f>
        <v>12</v>
      </c>
      <c r="E5" s="14">
        <f>BF!E5</f>
        <v>46</v>
      </c>
      <c r="F5" s="14">
        <f>BF!F5</f>
        <v>293</v>
      </c>
      <c r="G5" s="14">
        <f>BF!G5</f>
        <v>2316</v>
      </c>
      <c r="H5" s="14">
        <f>BF!H5</f>
        <v>21184</v>
      </c>
      <c r="I5" s="14">
        <f>BF!I5</f>
        <v>230395</v>
      </c>
      <c r="J5" s="14">
        <f>BF!J5</f>
        <v>2486521</v>
      </c>
      <c r="K5" s="14">
        <f>BF!K5</f>
        <v>30746682</v>
      </c>
    </row>
    <row r="6" spans="1:19" x14ac:dyDescent="0.25">
      <c r="A6" s="12"/>
      <c r="B6" s="14">
        <f>BF!B6</f>
        <v>4</v>
      </c>
      <c r="C6" s="14">
        <f>BF!C6</f>
        <v>5</v>
      </c>
      <c r="D6" s="14">
        <f>BF!D6</f>
        <v>12</v>
      </c>
      <c r="E6" s="14">
        <f>BF!E6</f>
        <v>46</v>
      </c>
      <c r="F6" s="14">
        <f>BF!F6</f>
        <v>279</v>
      </c>
      <c r="G6" s="14">
        <f>BF!G6</f>
        <v>2278</v>
      </c>
      <c r="H6" s="14">
        <f>BF!H6</f>
        <v>20806</v>
      </c>
      <c r="I6" s="14">
        <f>BF!I6</f>
        <v>221541</v>
      </c>
      <c r="J6" s="14">
        <f>BF!J6</f>
        <v>2391579</v>
      </c>
      <c r="K6" s="14">
        <f>BF!K6</f>
        <v>29984849</v>
      </c>
    </row>
    <row r="7" spans="1:19" x14ac:dyDescent="0.25">
      <c r="A7" s="12"/>
      <c r="B7" s="14">
        <f>BF!B7</f>
        <v>4</v>
      </c>
      <c r="C7" s="14">
        <f>BF!C7</f>
        <v>5</v>
      </c>
      <c r="D7" s="14">
        <f>BF!D7</f>
        <v>12</v>
      </c>
      <c r="E7" s="14">
        <f>BF!E7</f>
        <v>46</v>
      </c>
      <c r="F7" s="14">
        <f>BF!F7</f>
        <v>279</v>
      </c>
      <c r="G7" s="14">
        <f>BF!G7</f>
        <v>2227</v>
      </c>
      <c r="H7" s="14">
        <f>BF!H7</f>
        <v>20574</v>
      </c>
      <c r="I7" s="14">
        <f>BF!I7</f>
        <v>219549</v>
      </c>
      <c r="J7" s="14">
        <f>BF!J7</f>
        <v>2382249</v>
      </c>
      <c r="K7" s="14">
        <f>BF!K7</f>
        <v>28990656</v>
      </c>
    </row>
    <row r="8" spans="1:19" x14ac:dyDescent="0.25">
      <c r="A8" s="12"/>
      <c r="B8" s="14">
        <f>BF!B8</f>
        <v>4</v>
      </c>
      <c r="C8" s="14">
        <f>BF!C8</f>
        <v>5</v>
      </c>
      <c r="D8" s="14">
        <f>BF!D8</f>
        <v>11</v>
      </c>
      <c r="E8" s="14">
        <f>BF!E8</f>
        <v>46</v>
      </c>
      <c r="F8" s="14">
        <f>BF!F8</f>
        <v>279</v>
      </c>
      <c r="G8" s="14">
        <f>BF!G8</f>
        <v>2225</v>
      </c>
      <c r="H8" s="14">
        <f>BF!H8</f>
        <v>20045</v>
      </c>
      <c r="I8" s="14">
        <f>BF!I8</f>
        <v>197565</v>
      </c>
      <c r="J8" s="14">
        <f>BF!J8</f>
        <v>2361108</v>
      </c>
      <c r="K8" s="14">
        <f>BF!K8</f>
        <v>27455020</v>
      </c>
    </row>
    <row r="9" spans="1:19" x14ac:dyDescent="0.25">
      <c r="A9" s="12"/>
      <c r="B9" s="14">
        <f>BF!B9</f>
        <v>4</v>
      </c>
      <c r="C9" s="14">
        <f>BF!C9</f>
        <v>5</v>
      </c>
      <c r="D9" s="14">
        <f>BF!D9</f>
        <v>11</v>
      </c>
      <c r="E9" s="14">
        <f>BF!E9</f>
        <v>46</v>
      </c>
      <c r="F9" s="14">
        <f>BF!F9</f>
        <v>278</v>
      </c>
      <c r="G9" s="14">
        <f>BF!G9</f>
        <v>2137</v>
      </c>
      <c r="H9" s="14">
        <f>BF!H9</f>
        <v>20034</v>
      </c>
      <c r="I9" s="14">
        <f>BF!I9</f>
        <v>195380</v>
      </c>
      <c r="J9" s="14">
        <f>BF!J9</f>
        <v>2331608</v>
      </c>
      <c r="K9" s="14">
        <f>BF!K9</f>
        <v>27198634</v>
      </c>
    </row>
    <row r="10" spans="1:19" x14ac:dyDescent="0.25">
      <c r="A10" s="12"/>
      <c r="B10" s="14">
        <f>BF!B10</f>
        <v>4</v>
      </c>
      <c r="C10" s="14">
        <f>BF!C10</f>
        <v>5</v>
      </c>
      <c r="D10" s="14">
        <f>BF!D10</f>
        <v>11</v>
      </c>
      <c r="E10" s="14">
        <f>BF!E10</f>
        <v>46</v>
      </c>
      <c r="F10" s="14">
        <f>BF!F10</f>
        <v>278</v>
      </c>
      <c r="G10" s="14">
        <f>BF!G10</f>
        <v>2115</v>
      </c>
      <c r="H10" s="14">
        <f>BF!H10</f>
        <v>19793</v>
      </c>
      <c r="I10" s="14">
        <f>BF!I10</f>
        <v>191640</v>
      </c>
      <c r="J10" s="14">
        <f>BF!J10</f>
        <v>2299163</v>
      </c>
      <c r="K10" s="14">
        <f>BF!K10</f>
        <v>26903453</v>
      </c>
    </row>
    <row r="11" spans="1:19" x14ac:dyDescent="0.25">
      <c r="A11" s="13" t="str">
        <f>BF!A11</f>
        <v>Średnia (µs)</v>
      </c>
      <c r="B11" s="14">
        <f>BF!B11</f>
        <v>4.125</v>
      </c>
      <c r="C11" s="14">
        <f>BF!C11</f>
        <v>5</v>
      </c>
      <c r="D11" s="14">
        <f>BF!D11</f>
        <v>11.75</v>
      </c>
      <c r="E11" s="14">
        <f>BF!E11</f>
        <v>46.125</v>
      </c>
      <c r="F11" s="14">
        <f>BF!F11</f>
        <v>286.125</v>
      </c>
      <c r="G11" s="14">
        <f>BF!G11</f>
        <v>2279.25</v>
      </c>
      <c r="H11" s="14">
        <f>BF!H11</f>
        <v>21644.25</v>
      </c>
      <c r="I11" s="14">
        <f>BF!I11</f>
        <v>221338.375</v>
      </c>
      <c r="J11" s="14">
        <f>BF!J11</f>
        <v>2433908</v>
      </c>
      <c r="K11" s="14">
        <f>BF!K11</f>
        <v>29332777.5</v>
      </c>
    </row>
    <row r="12" spans="1:19" x14ac:dyDescent="0.25">
      <c r="A12" s="13" t="str">
        <f>BF!A12</f>
        <v>Średnia (s)</v>
      </c>
      <c r="B12" s="14">
        <f>BF!B12</f>
        <v>4.1250000000000003E-6</v>
      </c>
      <c r="C12" s="14">
        <f>BF!C12</f>
        <v>5.0000000000000004E-6</v>
      </c>
      <c r="D12" s="14">
        <f>BF!D12</f>
        <v>1.1749999999999999E-5</v>
      </c>
      <c r="E12" s="14">
        <f>BF!E12</f>
        <v>4.6125000000000003E-5</v>
      </c>
      <c r="F12" s="14">
        <f>BF!F12</f>
        <v>2.8612499999999998E-4</v>
      </c>
      <c r="G12" s="14">
        <f>BF!G12</f>
        <v>2.27925E-3</v>
      </c>
      <c r="H12" s="14">
        <f>BF!H12</f>
        <v>2.164425E-2</v>
      </c>
      <c r="I12" s="14">
        <f>BF!I12</f>
        <v>0.221338375</v>
      </c>
      <c r="J12" s="14">
        <f>BF!J12</f>
        <v>2.4339080000000002</v>
      </c>
      <c r="K12" s="14">
        <f>BF!K12</f>
        <v>29.332777499999999</v>
      </c>
    </row>
    <row r="14" spans="1:19" x14ac:dyDescent="0.25">
      <c r="A14" s="12" t="str">
        <f>BnB!A1</f>
        <v>TSP - algorytm Branch and Bound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3" t="str">
        <f>BnB!A2</f>
        <v>Ilość miast</v>
      </c>
      <c r="B15" s="13">
        <f>BnB!B2</f>
        <v>3</v>
      </c>
      <c r="C15" s="13">
        <f>BnB!C2</f>
        <v>4</v>
      </c>
      <c r="D15" s="13">
        <f>BnB!D2</f>
        <v>5</v>
      </c>
      <c r="E15" s="13">
        <f>BnB!E2</f>
        <v>6</v>
      </c>
      <c r="F15" s="13">
        <f>BnB!F2</f>
        <v>7</v>
      </c>
      <c r="G15" s="13">
        <f>BnB!G2</f>
        <v>8</v>
      </c>
      <c r="H15" s="13">
        <f>BnB!H2</f>
        <v>9</v>
      </c>
      <c r="I15" s="13">
        <f>BnB!I2</f>
        <v>10</v>
      </c>
      <c r="J15" s="13">
        <f>BnB!J2</f>
        <v>11</v>
      </c>
      <c r="K15" s="13">
        <f>BnB!K2</f>
        <v>12</v>
      </c>
      <c r="L15" s="13">
        <f>BnB!L2</f>
        <v>13</v>
      </c>
      <c r="M15" s="13">
        <f>BnB!M2</f>
        <v>14</v>
      </c>
      <c r="N15" s="13">
        <f>BnB!N2</f>
        <v>15</v>
      </c>
      <c r="O15" s="13">
        <f>BnB!O2</f>
        <v>16</v>
      </c>
      <c r="P15" s="13">
        <f>BnB!P2</f>
        <v>17</v>
      </c>
      <c r="Q15" s="13">
        <f>BnB!Q2</f>
        <v>18</v>
      </c>
      <c r="R15" s="13">
        <f>BnB!R2</f>
        <v>19</v>
      </c>
      <c r="S15" s="13">
        <f>BnB!S2</f>
        <v>20</v>
      </c>
    </row>
    <row r="16" spans="1:19" x14ac:dyDescent="0.25">
      <c r="A16" s="12" t="str">
        <f>BnB!A3</f>
        <v>Wyniki pomiarów</v>
      </c>
      <c r="B16" s="14">
        <f>BnB!B3</f>
        <v>6</v>
      </c>
      <c r="C16" s="14">
        <f>BnB!C3</f>
        <v>8</v>
      </c>
      <c r="D16" s="14">
        <f>BnB!D3</f>
        <v>14</v>
      </c>
      <c r="E16" s="14">
        <f>BnB!E3</f>
        <v>23</v>
      </c>
      <c r="F16" s="14">
        <f>BnB!F3</f>
        <v>61</v>
      </c>
      <c r="G16" s="14">
        <f>BnB!G3</f>
        <v>189</v>
      </c>
      <c r="H16" s="14">
        <f>BnB!H3</f>
        <v>454</v>
      </c>
      <c r="I16" s="14">
        <f>BnB!I3</f>
        <v>1452</v>
      </c>
      <c r="J16" s="14">
        <f>BnB!J3</f>
        <v>1627</v>
      </c>
      <c r="K16" s="14">
        <f>BnB!K3</f>
        <v>8784</v>
      </c>
      <c r="L16" s="14">
        <f>BnB!L3</f>
        <v>29020</v>
      </c>
      <c r="M16" s="14">
        <f>BnB!M3</f>
        <v>50681</v>
      </c>
      <c r="N16" s="14">
        <f>BnB!N3</f>
        <v>52001</v>
      </c>
      <c r="O16" s="14">
        <f>BnB!O3</f>
        <v>967324</v>
      </c>
      <c r="P16" s="14">
        <f>BnB!P3</f>
        <v>1044588</v>
      </c>
      <c r="Q16" s="14">
        <f>BnB!Q3</f>
        <v>2870341</v>
      </c>
      <c r="R16" s="14">
        <f>BnB!R3</f>
        <v>2112004</v>
      </c>
      <c r="S16" s="14">
        <f>BnB!S3</f>
        <v>10141075</v>
      </c>
    </row>
    <row r="17" spans="1:20" x14ac:dyDescent="0.25">
      <c r="A17" s="12"/>
      <c r="B17" s="14">
        <f>BnB!B4</f>
        <v>6</v>
      </c>
      <c r="C17" s="14">
        <f>BnB!C4</f>
        <v>8</v>
      </c>
      <c r="D17" s="14">
        <f>BnB!D4</f>
        <v>13</v>
      </c>
      <c r="E17" s="14">
        <f>BnB!E4</f>
        <v>22</v>
      </c>
      <c r="F17" s="14">
        <f>BnB!F4</f>
        <v>55</v>
      </c>
      <c r="G17" s="14">
        <f>BnB!G4</f>
        <v>180</v>
      </c>
      <c r="H17" s="14">
        <f>BnB!H4</f>
        <v>423</v>
      </c>
      <c r="I17" s="14">
        <f>BnB!I4</f>
        <v>1001</v>
      </c>
      <c r="J17" s="14">
        <f>BnB!J4</f>
        <v>1568</v>
      </c>
      <c r="K17" s="14">
        <f>BnB!K4</f>
        <v>8666</v>
      </c>
      <c r="L17" s="14">
        <f>BnB!L4</f>
        <v>16055</v>
      </c>
      <c r="M17" s="14">
        <f>BnB!M4</f>
        <v>45741</v>
      </c>
      <c r="N17" s="14">
        <f>BnB!N4</f>
        <v>32772</v>
      </c>
      <c r="O17" s="14">
        <f>BnB!O4</f>
        <v>776089</v>
      </c>
      <c r="P17" s="14">
        <f>BnB!P4</f>
        <v>628405</v>
      </c>
      <c r="Q17" s="14">
        <f>BnB!Q4</f>
        <v>2281401</v>
      </c>
      <c r="R17" s="14">
        <f>BnB!R4</f>
        <v>2014587</v>
      </c>
      <c r="S17" s="14">
        <f>BnB!S4</f>
        <v>8355843</v>
      </c>
    </row>
    <row r="18" spans="1:20" x14ac:dyDescent="0.25">
      <c r="A18" s="12"/>
      <c r="B18" s="14">
        <f>BnB!B5</f>
        <v>6</v>
      </c>
      <c r="C18" s="14">
        <f>BnB!C5</f>
        <v>8</v>
      </c>
      <c r="D18" s="14">
        <f>BnB!D5</f>
        <v>12</v>
      </c>
      <c r="E18" s="14">
        <f>BnB!E5</f>
        <v>21</v>
      </c>
      <c r="F18" s="14">
        <f>BnB!F5</f>
        <v>42</v>
      </c>
      <c r="G18" s="14">
        <f>BnB!G5</f>
        <v>170</v>
      </c>
      <c r="H18" s="14">
        <f>BnB!H5</f>
        <v>393</v>
      </c>
      <c r="I18" s="14">
        <f>BnB!I5</f>
        <v>970</v>
      </c>
      <c r="J18" s="14">
        <f>BnB!J5</f>
        <v>1481</v>
      </c>
      <c r="K18" s="14">
        <f>BnB!K5</f>
        <v>7257</v>
      </c>
      <c r="L18" s="14">
        <f>BnB!L5</f>
        <v>14871</v>
      </c>
      <c r="M18" s="14">
        <f>BnB!M5</f>
        <v>32478</v>
      </c>
      <c r="N18" s="14">
        <f>BnB!N5</f>
        <v>27187</v>
      </c>
      <c r="O18" s="14">
        <f>BnB!O5</f>
        <v>290505</v>
      </c>
      <c r="P18" s="14">
        <f>BnB!P5</f>
        <v>538873</v>
      </c>
      <c r="Q18" s="14">
        <f>BnB!Q5</f>
        <v>1890002</v>
      </c>
      <c r="R18" s="14">
        <f>BnB!R5</f>
        <v>1630270</v>
      </c>
      <c r="S18" s="14">
        <f>BnB!S5</f>
        <v>2649255</v>
      </c>
    </row>
    <row r="19" spans="1:20" x14ac:dyDescent="0.25">
      <c r="A19" s="12"/>
      <c r="B19" s="14">
        <f>BnB!B6</f>
        <v>5</v>
      </c>
      <c r="C19" s="14">
        <f>BnB!C6</f>
        <v>8</v>
      </c>
      <c r="D19" s="14">
        <f>BnB!D6</f>
        <v>12</v>
      </c>
      <c r="E19" s="14">
        <f>BnB!E6</f>
        <v>18</v>
      </c>
      <c r="F19" s="14">
        <f>BnB!F6</f>
        <v>36</v>
      </c>
      <c r="G19" s="14">
        <f>BnB!G6</f>
        <v>158</v>
      </c>
      <c r="H19" s="14">
        <f>BnB!H6</f>
        <v>348</v>
      </c>
      <c r="I19" s="14">
        <f>BnB!I6</f>
        <v>864</v>
      </c>
      <c r="J19" s="14">
        <f>BnB!J6</f>
        <v>1306</v>
      </c>
      <c r="K19" s="14">
        <f>BnB!K6</f>
        <v>4432</v>
      </c>
      <c r="L19" s="14">
        <f>BnB!L6</f>
        <v>11873</v>
      </c>
      <c r="M19" s="14">
        <f>BnB!M6</f>
        <v>30323</v>
      </c>
      <c r="N19" s="14">
        <f>BnB!N6</f>
        <v>26815</v>
      </c>
      <c r="O19" s="14">
        <f>BnB!O6</f>
        <v>129206</v>
      </c>
      <c r="P19" s="14">
        <f>BnB!P6</f>
        <v>424485</v>
      </c>
      <c r="Q19" s="14">
        <f>BnB!Q6</f>
        <v>1440893</v>
      </c>
      <c r="R19" s="14">
        <f>BnB!R6</f>
        <v>1228437</v>
      </c>
      <c r="S19" s="14">
        <f>BnB!S6</f>
        <v>2390880</v>
      </c>
    </row>
    <row r="20" spans="1:20" x14ac:dyDescent="0.25">
      <c r="A20" s="12"/>
      <c r="B20" s="14">
        <f>BnB!B7</f>
        <v>5</v>
      </c>
      <c r="C20" s="14">
        <f>BnB!C7</f>
        <v>7</v>
      </c>
      <c r="D20" s="14">
        <f>BnB!D7</f>
        <v>12</v>
      </c>
      <c r="E20" s="14">
        <f>BnB!E7</f>
        <v>18</v>
      </c>
      <c r="F20" s="14">
        <f>BnB!F7</f>
        <v>31</v>
      </c>
      <c r="G20" s="14">
        <f>BnB!G7</f>
        <v>90</v>
      </c>
      <c r="H20" s="14">
        <f>BnB!H7</f>
        <v>302</v>
      </c>
      <c r="I20" s="14">
        <f>BnB!I7</f>
        <v>730</v>
      </c>
      <c r="J20" s="14">
        <f>BnB!J7</f>
        <v>1140</v>
      </c>
      <c r="K20" s="14">
        <f>BnB!K7</f>
        <v>3488</v>
      </c>
      <c r="L20" s="14">
        <f>BnB!L7</f>
        <v>7412</v>
      </c>
      <c r="M20" s="14">
        <f>BnB!M7</f>
        <v>16191</v>
      </c>
      <c r="N20" s="14">
        <f>BnB!N7</f>
        <v>20078</v>
      </c>
      <c r="O20" s="14">
        <f>BnB!O7</f>
        <v>122203</v>
      </c>
      <c r="P20" s="14">
        <f>BnB!P7</f>
        <v>303288</v>
      </c>
      <c r="Q20" s="14">
        <f>BnB!Q7</f>
        <v>694936</v>
      </c>
      <c r="R20" s="14">
        <f>BnB!R7</f>
        <v>1138605</v>
      </c>
      <c r="S20" s="14">
        <f>BnB!S7</f>
        <v>2359044</v>
      </c>
    </row>
    <row r="21" spans="1:20" x14ac:dyDescent="0.25">
      <c r="A21" s="12"/>
      <c r="B21" s="14">
        <f>BnB!B8</f>
        <v>5</v>
      </c>
      <c r="C21" s="14">
        <f>BnB!C8</f>
        <v>7</v>
      </c>
      <c r="D21" s="14">
        <f>BnB!D8</f>
        <v>11</v>
      </c>
      <c r="E21" s="14">
        <f>BnB!E8</f>
        <v>17</v>
      </c>
      <c r="F21" s="14">
        <f>BnB!F8</f>
        <v>31</v>
      </c>
      <c r="G21" s="14">
        <f>BnB!G8</f>
        <v>74</v>
      </c>
      <c r="H21" s="14">
        <f>BnB!H8</f>
        <v>284</v>
      </c>
      <c r="I21" s="14">
        <f>BnB!I8</f>
        <v>721</v>
      </c>
      <c r="J21" s="14">
        <f>BnB!J8</f>
        <v>1080</v>
      </c>
      <c r="K21" s="14">
        <f>BnB!K8</f>
        <v>3356</v>
      </c>
      <c r="L21" s="14">
        <f>BnB!L8</f>
        <v>6002</v>
      </c>
      <c r="M21" s="14">
        <f>BnB!M8</f>
        <v>7800</v>
      </c>
      <c r="N21" s="14">
        <f>BnB!N8</f>
        <v>15774</v>
      </c>
      <c r="O21" s="14">
        <f>BnB!O8</f>
        <v>99745</v>
      </c>
      <c r="P21" s="14">
        <f>BnB!P8</f>
        <v>227769</v>
      </c>
      <c r="Q21" s="14">
        <f>BnB!Q8</f>
        <v>414274</v>
      </c>
      <c r="R21" s="14">
        <f>BnB!R8</f>
        <v>963934</v>
      </c>
      <c r="S21" s="14">
        <f>BnB!S8</f>
        <v>1829464</v>
      </c>
    </row>
    <row r="22" spans="1:20" x14ac:dyDescent="0.25">
      <c r="A22" s="12"/>
      <c r="B22" s="14">
        <f>BnB!B9</f>
        <v>5</v>
      </c>
      <c r="C22" s="14">
        <f>BnB!C9</f>
        <v>7</v>
      </c>
      <c r="D22" s="14">
        <f>BnB!D9</f>
        <v>10</v>
      </c>
      <c r="E22" s="14">
        <f>BnB!E9</f>
        <v>17</v>
      </c>
      <c r="F22" s="14">
        <f>BnB!F9</f>
        <v>25</v>
      </c>
      <c r="G22" s="14">
        <f>BnB!G9</f>
        <v>72</v>
      </c>
      <c r="H22" s="14">
        <f>BnB!H9</f>
        <v>266</v>
      </c>
      <c r="I22" s="14">
        <f>BnB!I9</f>
        <v>493</v>
      </c>
      <c r="J22" s="14">
        <f>BnB!J9</f>
        <v>1018</v>
      </c>
      <c r="K22" s="14">
        <f>BnB!K9</f>
        <v>3255</v>
      </c>
      <c r="L22" s="14">
        <f>BnB!L9</f>
        <v>5949</v>
      </c>
      <c r="M22" s="14">
        <f>BnB!M9</f>
        <v>7252</v>
      </c>
      <c r="N22" s="14">
        <f>BnB!N9</f>
        <v>14077</v>
      </c>
      <c r="O22" s="14">
        <f>BnB!O9</f>
        <v>52543</v>
      </c>
      <c r="P22" s="14">
        <f>BnB!P9</f>
        <v>220346</v>
      </c>
      <c r="Q22" s="14">
        <f>BnB!Q9</f>
        <v>304858</v>
      </c>
      <c r="R22" s="14">
        <f>BnB!R9</f>
        <v>943701</v>
      </c>
      <c r="S22" s="14">
        <f>BnB!S9</f>
        <v>1221485</v>
      </c>
    </row>
    <row r="23" spans="1:20" x14ac:dyDescent="0.25">
      <c r="A23" s="12"/>
      <c r="B23" s="14">
        <f>BnB!B10</f>
        <v>5</v>
      </c>
      <c r="C23" s="14">
        <f>BnB!C10</f>
        <v>6</v>
      </c>
      <c r="D23" s="14">
        <f>BnB!D10</f>
        <v>10</v>
      </c>
      <c r="E23" s="14">
        <f>BnB!E10</f>
        <v>16</v>
      </c>
      <c r="F23" s="14">
        <f>BnB!F10</f>
        <v>22</v>
      </c>
      <c r="G23" s="14">
        <f>BnB!G10</f>
        <v>72</v>
      </c>
      <c r="H23" s="14">
        <f>BnB!H10</f>
        <v>172</v>
      </c>
      <c r="I23" s="14">
        <f>BnB!I10</f>
        <v>449</v>
      </c>
      <c r="J23" s="14">
        <f>BnB!J10</f>
        <v>1013</v>
      </c>
      <c r="K23" s="14">
        <f>BnB!K10</f>
        <v>1974</v>
      </c>
      <c r="L23" s="14">
        <f>BnB!L10</f>
        <v>5072</v>
      </c>
      <c r="M23" s="14">
        <f>BnB!M10</f>
        <v>7238</v>
      </c>
      <c r="N23" s="14">
        <f>BnB!N10</f>
        <v>12021</v>
      </c>
      <c r="O23" s="14">
        <f>BnB!O10</f>
        <v>46356</v>
      </c>
      <c r="P23" s="14">
        <f>BnB!P10</f>
        <v>174316</v>
      </c>
      <c r="Q23" s="14">
        <f>BnB!Q10</f>
        <v>261452</v>
      </c>
      <c r="R23" s="14">
        <f>BnB!R10</f>
        <v>245812</v>
      </c>
      <c r="S23" s="14">
        <f>BnB!S10</f>
        <v>818679</v>
      </c>
    </row>
    <row r="24" spans="1:20" x14ac:dyDescent="0.25">
      <c r="A24" s="13" t="str">
        <f>BnB!A11</f>
        <v>Średnia (µs)</v>
      </c>
      <c r="B24" s="14">
        <f>BnB!B11</f>
        <v>5.375</v>
      </c>
      <c r="C24" s="14">
        <f>BnB!C11</f>
        <v>7.375</v>
      </c>
      <c r="D24" s="14">
        <f>BnB!D11</f>
        <v>11.75</v>
      </c>
      <c r="E24" s="14">
        <f>BnB!E11</f>
        <v>19</v>
      </c>
      <c r="F24" s="14">
        <f>BnB!F11</f>
        <v>37.875</v>
      </c>
      <c r="G24" s="14">
        <f>BnB!G11</f>
        <v>125.625</v>
      </c>
      <c r="H24" s="14">
        <f>BnB!H11</f>
        <v>330.25</v>
      </c>
      <c r="I24" s="14">
        <f>BnB!I11</f>
        <v>835</v>
      </c>
      <c r="J24" s="14">
        <f>BnB!J11</f>
        <v>1279.125</v>
      </c>
      <c r="K24" s="14">
        <f>BnB!K11</f>
        <v>5151.5</v>
      </c>
      <c r="L24" s="14">
        <f>BnB!L11</f>
        <v>12031.75</v>
      </c>
      <c r="M24" s="14">
        <f>BnB!M11</f>
        <v>24713</v>
      </c>
      <c r="N24" s="14">
        <f>BnB!N11</f>
        <v>25090.625</v>
      </c>
      <c r="O24" s="14">
        <f>BnB!O11</f>
        <v>310496.375</v>
      </c>
      <c r="P24" s="14">
        <f>BnB!P11</f>
        <v>445258.75</v>
      </c>
      <c r="Q24" s="14">
        <f>BnB!Q11</f>
        <v>1269769.625</v>
      </c>
      <c r="R24" s="14">
        <f>BnB!R11</f>
        <v>1284668.75</v>
      </c>
      <c r="S24" s="14">
        <f>BnB!S11</f>
        <v>3720715.625</v>
      </c>
    </row>
    <row r="25" spans="1:20" x14ac:dyDescent="0.25">
      <c r="A25" s="13" t="str">
        <f>BnB!A12</f>
        <v>Średnia (s)</v>
      </c>
      <c r="B25" s="14">
        <f>BnB!B12</f>
        <v>5.3750000000000002E-6</v>
      </c>
      <c r="C25" s="14">
        <f>BnB!C12</f>
        <v>7.3749999999999997E-6</v>
      </c>
      <c r="D25" s="14">
        <f>BnB!D12</f>
        <v>1.1749999999999999E-5</v>
      </c>
      <c r="E25" s="14">
        <f>BnB!E12</f>
        <v>1.9000000000000001E-5</v>
      </c>
      <c r="F25" s="14">
        <f>BnB!F12</f>
        <v>3.7874999999999999E-5</v>
      </c>
      <c r="G25" s="14">
        <f>BnB!G12</f>
        <v>1.25625E-4</v>
      </c>
      <c r="H25" s="14">
        <f>BnB!H12</f>
        <v>3.3024999999999998E-4</v>
      </c>
      <c r="I25" s="14">
        <f>BnB!I12</f>
        <v>8.3500000000000002E-4</v>
      </c>
      <c r="J25" s="14">
        <f>BnB!J12</f>
        <v>1.2791250000000001E-3</v>
      </c>
      <c r="K25" s="14">
        <f>BnB!K12</f>
        <v>5.1514999999999998E-3</v>
      </c>
      <c r="L25" s="14">
        <f>BnB!L12</f>
        <v>1.2031750000000001E-2</v>
      </c>
      <c r="M25" s="14">
        <f>BnB!M12</f>
        <v>2.4712999999999999E-2</v>
      </c>
      <c r="N25" s="14">
        <f>BnB!N12</f>
        <v>2.5090624999999998E-2</v>
      </c>
      <c r="O25" s="14">
        <f>BnB!O12</f>
        <v>0.31049637499999999</v>
      </c>
      <c r="P25" s="14">
        <f>BnB!P12</f>
        <v>0.44525874999999998</v>
      </c>
      <c r="Q25" s="14">
        <f>BnB!Q12</f>
        <v>1.2697696249999999</v>
      </c>
      <c r="R25" s="14">
        <f>BnB!R12</f>
        <v>1.28466875</v>
      </c>
      <c r="S25" s="14">
        <f>BnB!S12</f>
        <v>3.720715625</v>
      </c>
    </row>
    <row r="26" spans="1:20" x14ac:dyDescent="0.25">
      <c r="A26" s="11"/>
    </row>
    <row r="27" spans="1:20" x14ac:dyDescent="0.25">
      <c r="A27" s="12" t="str">
        <f>comparison!A1</f>
        <v>TSP - porównanie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</row>
    <row r="28" spans="1:20" x14ac:dyDescent="0.25">
      <c r="A28" s="12" t="str">
        <f>comparison!A2</f>
        <v>Ilość miast</v>
      </c>
      <c r="B28" s="12"/>
      <c r="C28" s="13">
        <f>comparison!C2</f>
        <v>3</v>
      </c>
      <c r="D28" s="13">
        <f>comparison!D2</f>
        <v>4</v>
      </c>
      <c r="E28" s="13">
        <f>comparison!E2</f>
        <v>5</v>
      </c>
      <c r="F28" s="13">
        <f>comparison!F2</f>
        <v>6</v>
      </c>
      <c r="G28" s="13">
        <f>comparison!G2</f>
        <v>7</v>
      </c>
      <c r="H28" s="13">
        <f>comparison!H2</f>
        <v>8</v>
      </c>
      <c r="I28" s="13">
        <f>comparison!I2</f>
        <v>9</v>
      </c>
      <c r="J28" s="13">
        <f>comparison!J2</f>
        <v>10</v>
      </c>
      <c r="K28" s="13">
        <f>comparison!K2</f>
        <v>11</v>
      </c>
      <c r="L28" s="13">
        <f>comparison!L2</f>
        <v>12</v>
      </c>
      <c r="M28" s="13">
        <f>comparison!M2</f>
        <v>13</v>
      </c>
      <c r="N28" s="13">
        <f>comparison!N2</f>
        <v>14</v>
      </c>
      <c r="O28" s="13">
        <f>comparison!O2</f>
        <v>15</v>
      </c>
      <c r="P28" s="13">
        <f>comparison!P2</f>
        <v>16</v>
      </c>
      <c r="Q28" s="13">
        <f>comparison!Q2</f>
        <v>17</v>
      </c>
      <c r="R28" s="13">
        <f>comparison!R2</f>
        <v>18</v>
      </c>
      <c r="S28" s="13">
        <f>comparison!S2</f>
        <v>19</v>
      </c>
      <c r="T28" s="13">
        <f>comparison!T2</f>
        <v>20</v>
      </c>
    </row>
    <row r="29" spans="1:20" x14ac:dyDescent="0.25">
      <c r="A29" s="15" t="str">
        <f>comparison!A3</f>
        <v>Algorytm</v>
      </c>
      <c r="B29" s="16" t="str">
        <f>comparison!B3</f>
        <v>Brute Force</v>
      </c>
      <c r="C29" s="14">
        <f>comparison!C3</f>
        <v>4.125</v>
      </c>
      <c r="D29" s="14">
        <f>comparison!D3</f>
        <v>5</v>
      </c>
      <c r="E29" s="14">
        <f>comparison!E3</f>
        <v>11.75</v>
      </c>
      <c r="F29" s="14">
        <f>comparison!F3</f>
        <v>46.125</v>
      </c>
      <c r="G29" s="14">
        <f>comparison!G3</f>
        <v>286.125</v>
      </c>
      <c r="H29" s="14">
        <f>comparison!H3</f>
        <v>2279.25</v>
      </c>
      <c r="I29" s="14">
        <f>comparison!I3</f>
        <v>21644.25</v>
      </c>
      <c r="J29" s="14">
        <f>comparison!J3</f>
        <v>221338.375</v>
      </c>
      <c r="K29" s="14">
        <f>comparison!K3</f>
        <v>2433908</v>
      </c>
      <c r="L29" s="14">
        <f>comparison!L3</f>
        <v>29332777.5</v>
      </c>
      <c r="M29" s="14"/>
      <c r="N29" s="14"/>
      <c r="O29" s="14"/>
      <c r="P29" s="14"/>
      <c r="Q29" s="14"/>
      <c r="R29" s="14"/>
      <c r="S29" s="14"/>
      <c r="T29" s="14"/>
    </row>
    <row r="30" spans="1:20" ht="30" x14ac:dyDescent="0.25">
      <c r="A30" s="15"/>
      <c r="B30" s="16" t="str">
        <f>comparison!B4</f>
        <v>Branch and Bound</v>
      </c>
      <c r="C30" s="14">
        <f>comparison!C4</f>
        <v>5.375</v>
      </c>
      <c r="D30" s="14">
        <f>comparison!D4</f>
        <v>7.375</v>
      </c>
      <c r="E30" s="14">
        <f>comparison!E4</f>
        <v>11.75</v>
      </c>
      <c r="F30" s="14">
        <f>comparison!F4</f>
        <v>19</v>
      </c>
      <c r="G30" s="14">
        <f>comparison!G4</f>
        <v>37.875</v>
      </c>
      <c r="H30" s="14">
        <f>comparison!H4</f>
        <v>125.625</v>
      </c>
      <c r="I30" s="14">
        <f>comparison!I4</f>
        <v>330.25</v>
      </c>
      <c r="J30" s="14">
        <f>comparison!J4</f>
        <v>835</v>
      </c>
      <c r="K30" s="14">
        <f>comparison!K4</f>
        <v>1279.125</v>
      </c>
      <c r="L30" s="14">
        <f>comparison!L4</f>
        <v>5151.5</v>
      </c>
      <c r="M30" s="14">
        <f>comparison!M4</f>
        <v>12031.75</v>
      </c>
      <c r="N30" s="14">
        <f>comparison!N4</f>
        <v>24713</v>
      </c>
      <c r="O30" s="14">
        <f>comparison!O4</f>
        <v>25090.625</v>
      </c>
      <c r="P30" s="14">
        <f>comparison!P4</f>
        <v>310496.375</v>
      </c>
      <c r="Q30" s="14">
        <f>comparison!Q4</f>
        <v>445258.75</v>
      </c>
      <c r="R30" s="14">
        <f>comparison!R4</f>
        <v>1269769.625</v>
      </c>
      <c r="S30" s="14">
        <f>comparison!S4</f>
        <v>1284668.75</v>
      </c>
      <c r="T30" s="14">
        <f>comparison!T4</f>
        <v>3720715.625</v>
      </c>
    </row>
  </sheetData>
  <mergeCells count="7">
    <mergeCell ref="A29:A30"/>
    <mergeCell ref="A1:K1"/>
    <mergeCell ref="A3:A10"/>
    <mergeCell ref="A14:S14"/>
    <mergeCell ref="A16:A23"/>
    <mergeCell ref="A27:T27"/>
    <mergeCell ref="A28:B28"/>
  </mergeCells>
  <pageMargins left="0.7" right="0.7" top="0.75" bottom="0.75" header="0.3" footer="0.3"/>
  <pageSetup paperSize="9" scale="6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BF</vt:lpstr>
      <vt:lpstr>BnB</vt:lpstr>
      <vt:lpstr>comparison</vt:lpstr>
      <vt:lpstr>print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Bartosz Rodziewicz</dc:creator>
  <cp:lastModifiedBy>Bartosz Rodziewicz</cp:lastModifiedBy>
  <cp:lastPrinted>2018-11-09T08:56:38Z</cp:lastPrinted>
  <dcterms:created xsi:type="dcterms:W3CDTF">2018-05-21T01:10:12Z</dcterms:created>
  <dcterms:modified xsi:type="dcterms:W3CDTF">2018-11-09T08:56:46Z</dcterms:modified>
</cp:coreProperties>
</file>